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g Log" sheetId="1" state="visible" r:id="rId3"/>
    <sheet name="Summary" sheetId="2" state="visible" r:id="rId4"/>
  </sheets>
  <definedNames>
    <definedName function="false" hidden="true" localSheetId="0" name="_xlnm._FilterDatabase" vbProcedure="false">'Bug Log'!$A$4:$N$12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<sst xmlns="http://schemas.openxmlformats.org/spreadsheetml/2006/main" count="139" uniqueCount="54">
  <si>
    <t xml:space="preserve">Bug Tracking Log</t>
  </si>
  <si>
    <t xml:space="preserve">All entries below are potential test scenarios only. None have been executed. No item here should be treated as a confirmed/observed defect until it has been executed and evidenced.</t>
  </si>
  <si>
    <t xml:space="preserve">Bug ID</t>
  </si>
  <si>
    <t xml:space="preserve">Related Test ID</t>
  </si>
  <si>
    <t xml:space="preserve">Title / Summary</t>
  </si>
  <si>
    <t xml:space="preserve">Severity</t>
  </si>
  <si>
    <t xml:space="preserve">Priority</t>
  </si>
  <si>
    <t xml:space="preserve">Status</t>
  </si>
  <si>
    <t xml:space="preserve">Steps to Reproduce</t>
  </si>
  <si>
    <t xml:space="preserve">Expected Result</t>
  </si>
  <si>
    <t xml:space="preserve">Actual Result</t>
  </si>
  <si>
    <t xml:space="preserve">Test Data</t>
  </si>
  <si>
    <t xml:space="preserve">Evidence</t>
  </si>
  <si>
    <t xml:space="preserve">Reported By</t>
  </si>
  <si>
    <t xml:space="preserve">Reported Date</t>
  </si>
  <si>
    <t xml:space="preserve">Comments</t>
  </si>
  <si>
    <t xml:space="preserve">BUG-SAMPLE-001</t>
  </si>
  <si>
    <t xml:space="preserve">REG-17</t>
  </si>
  <si>
    <t xml:space="preserve">Checkout validation does not identify a missing required field</t>
  </si>
  <si>
    <t xml:space="preserve">High</t>
  </si>
  <si>
    <t xml:space="preserve">Potential test scenario — requires execution</t>
  </si>
  <si>
    <t xml:space="preserve">BUG-SAMPLE-002</t>
  </si>
  <si>
    <t xml:space="preserve">REG-09</t>
  </si>
  <si>
    <t xml:space="preserve">Cart badge may not match selected item count</t>
  </si>
  <si>
    <t xml:space="preserve">Medium</t>
  </si>
  <si>
    <t xml:space="preserve">BUG-SAMPLE-003</t>
  </si>
  <si>
    <t xml:space="preserve">REG-06</t>
  </si>
  <si>
    <t xml:space="preserve">Sort control may not preserve selection after navigation</t>
  </si>
  <si>
    <t xml:space="preserve">Low</t>
  </si>
  <si>
    <t xml:space="preserve">BUG-SAMPLE-004</t>
  </si>
  <si>
    <t xml:space="preserve">REG-22</t>
  </si>
  <si>
    <t xml:space="preserve">Back navigation may expose a stale protected page after logout</t>
  </si>
  <si>
    <t xml:space="preserve">BUG-SAMPLE-005</t>
  </si>
  <si>
    <t xml:space="preserve">REG-10</t>
  </si>
  <si>
    <t xml:space="preserve">Product price may differ between card and overview</t>
  </si>
  <si>
    <t xml:space="preserve">BUG-SAMPLE-006</t>
  </si>
  <si>
    <t xml:space="preserve">REG-19</t>
  </si>
  <si>
    <t xml:space="preserve">Repeated Finish clicks may create duplicate completion behavior</t>
  </si>
  <si>
    <t xml:space="preserve">Critical</t>
  </si>
  <si>
    <t xml:space="preserve">BUG-SAMPLE-007</t>
  </si>
  <si>
    <t xml:space="preserve">REG-02</t>
  </si>
  <si>
    <t xml:space="preserve">Error message may be unclear for invalid login</t>
  </si>
  <si>
    <t xml:space="preserve">BUG-SAMPLE-008</t>
  </si>
  <si>
    <t xml:space="preserve">REG-21</t>
  </si>
  <si>
    <t xml:space="preserve">Confirmation page may not reset cart state</t>
  </si>
  <si>
    <t xml:space="preserve">Bug Tracking Summary</t>
  </si>
  <si>
    <t xml:space="preserve">Total Bugs Logged</t>
  </si>
  <si>
    <t xml:space="preserve">Not Yet Executed</t>
  </si>
  <si>
    <t xml:space="preserve">Confirmed</t>
  </si>
  <si>
    <t xml:space="preserve">Not a Defect</t>
  </si>
  <si>
    <t xml:space="preserve">Fixed</t>
  </si>
  <si>
    <t xml:space="preserve">Closed</t>
  </si>
  <si>
    <t xml:space="preserve">Duplicate</t>
  </si>
  <si>
    <t xml:space="preserve">Count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</si>
</sst>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8B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8B1A1A"/>
        <bgColor rgb="FF800000"/>
      </patternFill>
    </fill>
    <fill>
      <patternFill patternType="solid">
        <fgColor rgb="FFA83232"/>
        <bgColor rgb="FF993366"/>
      </patternFill>
    </fill>
    <fill>
      <patternFill patternType="solid">
        <fgColor rgb="FFFBEEEE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A83232"/>
          <bgColor rgb="FF000000"/>
        </patternFill>
      </fill>
    </dxf>
    <dxf>
      <fill>
        <patternFill patternType="solid">
          <fgColor rgb="FFFBEE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ont>
        <b val="1"/>
        <color rgb="FFFFFFFF"/>
      </font>
      <fill>
        <patternFill>
          <bgColor rgb="FFC00000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i val="1"/>
        <color rgb="FF808080"/>
      </font>
      <fill>
        <patternFill>
          <bgColor rgb="FFE7E6E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1A1A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EEEE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A8323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5" min="4" style="0" width="10"/>
    <col collapsed="false" customWidth="true" hidden="false" outlineLevel="0" max="6" min="6" style="0" width="26"/>
    <col collapsed="false" customWidth="true" hidden="false" outlineLevel="0" max="9" min="7" style="0" width="30"/>
    <col collapsed="false" customWidth="true" hidden="false" outlineLevel="0" max="11" min="10" style="0" width="24"/>
    <col collapsed="false" customWidth="true" hidden="false" outlineLevel="0" max="13" min="12" style="0" width="16"/>
    <col collapsed="false" customWidth="true" hidden="false" outlineLevel="0" max="14" min="14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33.75" hidden="false" customHeight="true" outlineLevel="0" collapsed="false">
      <c r="A5" s="4" t="s">
        <v>16</v>
      </c>
      <c r="B5" s="4" t="s">
        <v>17</v>
      </c>
      <c r="C5" s="4" t="s">
        <v>18</v>
      </c>
      <c r="D5" s="4" t="s">
        <v>19</v>
      </c>
      <c r="E5" s="4" t="s">
        <v>19</v>
      </c>
      <c r="F5" s="5" t="s">
        <v>20</v>
      </c>
      <c r="G5" s="5" t="s">
        <v>20</v>
      </c>
      <c r="H5" s="5" t="s">
        <v>20</v>
      </c>
      <c r="I5" s="5" t="s">
        <v>20</v>
      </c>
      <c r="J5" s="5" t="s">
        <v>20</v>
      </c>
      <c r="K5" s="5" t="s">
        <v>20</v>
      </c>
      <c r="L5" s="5" t="s">
        <v>20</v>
      </c>
      <c r="M5" s="5" t="s">
        <v>20</v>
      </c>
      <c r="N5" s="4"/>
    </row>
    <row r="6" customFormat="false" ht="33.75" hidden="false" customHeight="true" outlineLevel="0" collapsed="false">
      <c r="A6" s="6" t="s">
        <v>21</v>
      </c>
      <c r="B6" s="6" t="s">
        <v>22</v>
      </c>
      <c r="C6" s="6" t="s">
        <v>23</v>
      </c>
      <c r="D6" s="6" t="s">
        <v>24</v>
      </c>
      <c r="E6" s="6" t="s">
        <v>19</v>
      </c>
      <c r="F6" s="7" t="s">
        <v>20</v>
      </c>
      <c r="G6" s="7" t="s">
        <v>20</v>
      </c>
      <c r="H6" s="7" t="s">
        <v>20</v>
      </c>
      <c r="I6" s="7" t="s">
        <v>20</v>
      </c>
      <c r="J6" s="7" t="s">
        <v>20</v>
      </c>
      <c r="K6" s="7" t="s">
        <v>20</v>
      </c>
      <c r="L6" s="7" t="s">
        <v>20</v>
      </c>
      <c r="M6" s="7" t="s">
        <v>20</v>
      </c>
      <c r="N6" s="6"/>
    </row>
    <row r="7" customFormat="false" ht="33.75" hidden="false" customHeight="true" outlineLevel="0" collapsed="false">
      <c r="A7" s="4" t="s">
        <v>25</v>
      </c>
      <c r="B7" s="4" t="s">
        <v>26</v>
      </c>
      <c r="C7" s="4" t="s">
        <v>27</v>
      </c>
      <c r="D7" s="4" t="s">
        <v>28</v>
      </c>
      <c r="E7" s="4" t="s">
        <v>28</v>
      </c>
      <c r="F7" s="5" t="s">
        <v>20</v>
      </c>
      <c r="G7" s="5" t="s">
        <v>20</v>
      </c>
      <c r="H7" s="5" t="s">
        <v>20</v>
      </c>
      <c r="I7" s="5" t="s">
        <v>20</v>
      </c>
      <c r="J7" s="5" t="s">
        <v>20</v>
      </c>
      <c r="K7" s="5" t="s">
        <v>20</v>
      </c>
      <c r="L7" s="5" t="s">
        <v>20</v>
      </c>
      <c r="M7" s="5" t="s">
        <v>20</v>
      </c>
      <c r="N7" s="4"/>
    </row>
    <row r="8" customFormat="false" ht="33.75" hidden="false" customHeight="true" outlineLevel="0" collapsed="false">
      <c r="A8" s="6" t="s">
        <v>29</v>
      </c>
      <c r="B8" s="6" t="s">
        <v>30</v>
      </c>
      <c r="C8" s="6" t="s">
        <v>31</v>
      </c>
      <c r="D8" s="6" t="s">
        <v>19</v>
      </c>
      <c r="E8" s="6" t="s">
        <v>19</v>
      </c>
      <c r="F8" s="7" t="s">
        <v>20</v>
      </c>
      <c r="G8" s="7" t="s">
        <v>20</v>
      </c>
      <c r="H8" s="7" t="s">
        <v>20</v>
      </c>
      <c r="I8" s="7" t="s">
        <v>20</v>
      </c>
      <c r="J8" s="7" t="s">
        <v>20</v>
      </c>
      <c r="K8" s="7" t="s">
        <v>20</v>
      </c>
      <c r="L8" s="7" t="s">
        <v>20</v>
      </c>
      <c r="M8" s="7" t="s">
        <v>20</v>
      </c>
      <c r="N8" s="6"/>
    </row>
    <row r="9" customFormat="false" ht="33.75" hidden="false" customHeight="true" outlineLevel="0" collapsed="false">
      <c r="A9" s="4" t="s">
        <v>32</v>
      </c>
      <c r="B9" s="4" t="s">
        <v>33</v>
      </c>
      <c r="C9" s="4" t="s">
        <v>34</v>
      </c>
      <c r="D9" s="4" t="s">
        <v>19</v>
      </c>
      <c r="E9" s="4" t="s">
        <v>19</v>
      </c>
      <c r="F9" s="5" t="s">
        <v>20</v>
      </c>
      <c r="G9" s="5" t="s">
        <v>20</v>
      </c>
      <c r="H9" s="5" t="s">
        <v>20</v>
      </c>
      <c r="I9" s="5" t="s">
        <v>20</v>
      </c>
      <c r="J9" s="5" t="s">
        <v>20</v>
      </c>
      <c r="K9" s="5" t="s">
        <v>20</v>
      </c>
      <c r="L9" s="5" t="s">
        <v>20</v>
      </c>
      <c r="M9" s="5" t="s">
        <v>20</v>
      </c>
      <c r="N9" s="4"/>
    </row>
    <row r="10" customFormat="false" ht="33.75" hidden="false" customHeight="true" outlineLevel="0" collapsed="false">
      <c r="A10" s="6" t="s">
        <v>35</v>
      </c>
      <c r="B10" s="6" t="s">
        <v>36</v>
      </c>
      <c r="C10" s="6" t="s">
        <v>37</v>
      </c>
      <c r="D10" s="6" t="s">
        <v>38</v>
      </c>
      <c r="E10" s="6" t="s">
        <v>19</v>
      </c>
      <c r="F10" s="7" t="s">
        <v>20</v>
      </c>
      <c r="G10" s="7" t="s">
        <v>20</v>
      </c>
      <c r="H10" s="7" t="s">
        <v>20</v>
      </c>
      <c r="I10" s="7" t="s">
        <v>20</v>
      </c>
      <c r="J10" s="7" t="s">
        <v>20</v>
      </c>
      <c r="K10" s="7" t="s">
        <v>20</v>
      </c>
      <c r="L10" s="7" t="s">
        <v>20</v>
      </c>
      <c r="M10" s="7" t="s">
        <v>20</v>
      </c>
      <c r="N10" s="6"/>
    </row>
    <row r="11" customFormat="false" ht="33.75" hidden="false" customHeight="true" outlineLevel="0" collapsed="false">
      <c r="A11" s="4" t="s">
        <v>39</v>
      </c>
      <c r="B11" s="4" t="s">
        <v>40</v>
      </c>
      <c r="C11" s="4" t="s">
        <v>41</v>
      </c>
      <c r="D11" s="4" t="s">
        <v>28</v>
      </c>
      <c r="E11" s="4" t="s">
        <v>28</v>
      </c>
      <c r="F11" s="5" t="s">
        <v>20</v>
      </c>
      <c r="G11" s="5" t="s">
        <v>20</v>
      </c>
      <c r="H11" s="5" t="s">
        <v>20</v>
      </c>
      <c r="I11" s="5" t="s">
        <v>20</v>
      </c>
      <c r="J11" s="5" t="s">
        <v>20</v>
      </c>
      <c r="K11" s="5" t="s">
        <v>20</v>
      </c>
      <c r="L11" s="5" t="s">
        <v>20</v>
      </c>
      <c r="M11" s="5" t="s">
        <v>20</v>
      </c>
      <c r="N11" s="4"/>
    </row>
    <row r="12" customFormat="false" ht="33.75" hidden="false" customHeight="true" outlineLevel="0" collapsed="false">
      <c r="A12" s="6" t="s">
        <v>42</v>
      </c>
      <c r="B12" s="6" t="s">
        <v>43</v>
      </c>
      <c r="C12" s="6" t="s">
        <v>44</v>
      </c>
      <c r="D12" s="6" t="s">
        <v>24</v>
      </c>
      <c r="E12" s="6" t="s">
        <v>24</v>
      </c>
      <c r="F12" s="7" t="s">
        <v>20</v>
      </c>
      <c r="G12" s="7" t="s">
        <v>20</v>
      </c>
      <c r="H12" s="7" t="s">
        <v>20</v>
      </c>
      <c r="I12" s="7" t="s">
        <v>20</v>
      </c>
      <c r="J12" s="7" t="s">
        <v>20</v>
      </c>
      <c r="K12" s="7" t="s">
        <v>20</v>
      </c>
      <c r="L12" s="7" t="s">
        <v>20</v>
      </c>
      <c r="M12" s="7" t="s">
        <v>20</v>
      </c>
      <c r="N12" s="6"/>
    </row>
  </sheetData>
  <autoFilter ref="A4:N12"/>
  <mergeCells count="2">
    <mergeCell ref="A1:N1"/>
    <mergeCell ref="A2:N2"/>
  </mergeCells>
  <conditionalFormatting sqref="D5:D12">
    <cfRule type="cellIs" priority="2" operator="equal" aboveAverage="0" equalAverage="0" bottom="0" percent="0" rank="0" text="" dxfId="10">
      <formula>"Critical"</formula>
    </cfRule>
    <cfRule type="cellIs" priority="3" operator="equal" aboveAverage="0" equalAverage="0" bottom="0" percent="0" rank="0" text="" dxfId="11">
      <formula>"High"</formula>
    </cfRule>
    <cfRule type="cellIs" priority="4" operator="equal" aboveAverage="0" equalAverage="0" bottom="0" percent="0" rank="0" text="" dxfId="12">
      <formula>"Medium"</formula>
    </cfRule>
    <cfRule type="cellIs" priority="5" operator="equal" aboveAverage="0" equalAverage="0" bottom="0" percent="0" rank="0" text="" dxfId="13">
      <formula>"Low"</formula>
    </cfRule>
  </conditionalFormatting>
  <conditionalFormatting sqref="F5:F12">
    <cfRule type="cellIs" priority="6" operator="equal" aboveAverage="0" equalAverage="0" bottom="0" percent="0" rank="0" text="" dxfId="14">
      <formula>"Potential test scenario — requires execution"</formula>
    </cfRule>
  </conditionalFormatting>
  <dataValidations count="3">
    <dataValidation allowBlank="true" errorStyle="stop" operator="between" showDropDown="false" showErrorMessage="false" showInputMessage="false" sqref="D5:D12" type="list">
      <formula1>"Critical,High,Medium,Low"</formula1>
      <formula2>0</formula2>
    </dataValidation>
    <dataValidation allowBlank="true" errorStyle="stop" operator="between" showDropDown="false" showErrorMessage="false" showInputMessage="false" sqref="E5:E12" type="list">
      <formula1>"High,Medium,Low"</formula1>
      <formula2>0</formula2>
    </dataValidation>
    <dataValidation allowBlank="true" errorStyle="stop" operator="between" showDropDown="false" showErrorMessage="false" showInputMessage="false" sqref="F5:F12" type="list">
      <formula1>"Potential test scenario — requires execution,Confirmed,Not a Defect,Fixed,Closed,Duplicate"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</cols>
  <sheetData>
    <row r="1" customFormat="false" ht="24" hidden="false" customHeight="true" outlineLevel="0" collapsed="false">
      <c r="A1" s="8" t="s">
        <v>45</v>
      </c>
      <c r="B1" s="8"/>
    </row>
    <row r="3" customFormat="false" ht="15" hidden="false" customHeight="false" outlineLevel="0" collapsed="false">
      <c r="A3" s="9" t="s">
        <v>46</v>
      </c>
      <c r="B3" s="10" t="n">
        <f aca="false">COUNTA('Bug Log'!A5:A12)</f>
        <v>8</v>
      </c>
    </row>
    <row r="4" customFormat="false" ht="15" hidden="false" customHeight="false" outlineLevel="0" collapsed="false">
      <c r="A4" s="9" t="s">
        <v>47</v>
      </c>
      <c r="B4" s="10" t="n">
        <f aca="false">COUNTIF('Bug Log'!F5:F12,"Potential test scenario — requires execution")</f>
        <v>8</v>
      </c>
    </row>
    <row r="5" customFormat="false" ht="15" hidden="false" customHeight="false" outlineLevel="0" collapsed="false">
      <c r="A5" s="9" t="s">
        <v>48</v>
      </c>
      <c r="B5" s="10" t="n">
        <f aca="false">COUNTIF('Bug Log'!F5:F12,"Confirmed")</f>
        <v>0</v>
      </c>
    </row>
    <row r="6" customFormat="false" ht="15" hidden="false" customHeight="false" outlineLevel="0" collapsed="false">
      <c r="A6" s="9" t="s">
        <v>49</v>
      </c>
      <c r="B6" s="10" t="n">
        <f aca="false">COUNTIF('Bug Log'!F5:F12,"Not a Defect")</f>
        <v>0</v>
      </c>
    </row>
    <row r="7" customFormat="false" ht="15" hidden="false" customHeight="false" outlineLevel="0" collapsed="false">
      <c r="A7" s="9" t="s">
        <v>50</v>
      </c>
      <c r="B7" s="10" t="n">
        <f aca="false">COUNTIF('Bug Log'!F5:F12,"Fixed")</f>
        <v>0</v>
      </c>
    </row>
    <row r="8" customFormat="false" ht="15" hidden="false" customHeight="false" outlineLevel="0" collapsed="false">
      <c r="A8" s="9" t="s">
        <v>51</v>
      </c>
      <c r="B8" s="10" t="n">
        <f aca="false">COUNTIF('Bug Log'!F5:F12,"Closed")</f>
        <v>0</v>
      </c>
    </row>
    <row r="9" customFormat="false" ht="15" hidden="false" customHeight="false" outlineLevel="0" collapsed="false">
      <c r="A9" s="9" t="s">
        <v>52</v>
      </c>
      <c r="B9" s="10" t="n">
        <f aca="false">COUNTIF('Bug Log'!F5:F12,"Duplicate")</f>
        <v>0</v>
      </c>
    </row>
    <row r="11" customFormat="false" ht="15" hidden="false" customHeight="false" outlineLevel="0" collapsed="false">
      <c r="A11" s="11" t="s">
        <v>5</v>
      </c>
      <c r="B11" s="11" t="s">
        <v>53</v>
      </c>
    </row>
    <row r="12" customFormat="false" ht="15" hidden="false" customHeight="false" outlineLevel="0" collapsed="false">
      <c r="A12" s="12" t="s">
        <v>38</v>
      </c>
      <c r="B12" s="13" t="n">
        <f aca="false">COUNTIF('Bug Log'!D5:D12,A12)</f>
        <v>1</v>
      </c>
    </row>
    <row r="13" customFormat="false" ht="15" hidden="false" customHeight="false" outlineLevel="0" collapsed="false">
      <c r="A13" s="12" t="s">
        <v>19</v>
      </c>
      <c r="B13" s="13" t="n">
        <f aca="false">COUNTIF('Bug Log'!D5:D12,A13)</f>
        <v>3</v>
      </c>
    </row>
    <row r="14" customFormat="false" ht="15" hidden="false" customHeight="false" outlineLevel="0" collapsed="false">
      <c r="A14" s="12" t="s">
        <v>24</v>
      </c>
      <c r="B14" s="13" t="n">
        <f aca="false">COUNTIF('Bug Log'!D5:D12,A14)</f>
        <v>2</v>
      </c>
    </row>
    <row r="15" customFormat="false" ht="15" hidden="false" customHeight="false" outlineLevel="0" collapsed="false">
      <c r="A15" s="12" t="s">
        <v>28</v>
      </c>
      <c r="B15" s="13" t="n">
        <f aca="false">COUNTIF('Bug Log'!D5:D12,A15)</f>
        <v>2</v>
      </c>
    </row>
    <row r="17" customFormat="false" ht="15" hidden="false" customHeight="false" outlineLevel="0" collapsed="false">
      <c r="A17" s="11" t="s">
        <v>6</v>
      </c>
      <c r="B17" s="11" t="s">
        <v>53</v>
      </c>
    </row>
    <row r="18" customFormat="false" ht="15" hidden="false" customHeight="false" outlineLevel="0" collapsed="false">
      <c r="A18" s="12" t="s">
        <v>19</v>
      </c>
      <c r="B18" s="13" t="n">
        <f aca="false">COUNTIF('Bug Log'!E5:E12,A18)</f>
        <v>5</v>
      </c>
    </row>
    <row r="19" customFormat="false" ht="15" hidden="false" customHeight="false" outlineLevel="0" collapsed="false">
      <c r="A19" s="12" t="s">
        <v>24</v>
      </c>
      <c r="B19" s="13" t="n">
        <f aca="false">COUNTIF('Bug Log'!E5:E12,A19)</f>
        <v>1</v>
      </c>
    </row>
    <row r="20" customFormat="false" ht="15" hidden="false" customHeight="false" outlineLevel="0" collapsed="false">
      <c r="A20" s="12" t="s">
        <v>28</v>
      </c>
      <c r="B20" s="13" t="n">
        <f aca="false">COUNTIF('Bug Log'!E5:E12,A20)</f>
        <v>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2026-09-03T03:07:36Z</dcterms:created>
  <dc:creator>openpyxl</dc:creator>
  <dc:description/>
  <dc:language>en-US</dc:language>
  <cp:lastModifiedBy/>
  <dcterms:modified xsi:type="dcterms:W3CDTF">2026-09-03T03:07:36Z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