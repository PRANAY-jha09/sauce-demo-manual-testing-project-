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 Test Cases" sheetId="1" state="visible" r:id="rId3"/>
    <sheet name="Bug Log" sheetId="2" state="visible" r:id="rId4"/>
    <sheet name="Summary" sheetId="3" state="visible" r:id="rId5"/>
  </sheets>
  <definedNames>
    <definedName function="false" hidden="true" localSheetId="1" name="_xlnm._FilterDatabase" vbProcedure="false">'Bug Log'!$A$4:$N$12</definedName>
    <definedName function="false" hidden="true" localSheetId="0" name="_xlnm._FilterDatabase" vbProcedure="false">'Regression Test Cases'!$A$4:$K$29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<sst xmlns="http://schemas.openxmlformats.org/spreadsheetml/2006/main" count="327" uniqueCount="165">
  <si>
    <t xml:space="preserve">Regression Test Suite</t>
  </si>
  <si>
    <t xml:space="preserve">Covers login, inventory, product, cart, checkout, order, logout, validation and navigation checks</t>
  </si>
  <si>
    <t xml:space="preserve">Test ID</t>
  </si>
  <si>
    <t xml:space="preserve">Module</t>
  </si>
  <si>
    <t xml:space="preserve">Test Description</t>
  </si>
  <si>
    <t xml:space="preserve">Test Steps</t>
  </si>
  <si>
    <t xml:space="preserve">Expected Result</t>
  </si>
  <si>
    <t xml:space="preserve">Priority</t>
  </si>
  <si>
    <t xml:space="preserve">Status</t>
  </si>
  <si>
    <t xml:space="preserve">Actual Result</t>
  </si>
  <si>
    <t xml:space="preserve">Tested By</t>
  </si>
  <si>
    <t xml:space="preserve">Date Tested</t>
  </si>
  <si>
    <t xml:space="preserve">Comments</t>
  </si>
  <si>
    <t xml:space="preserve">REG-01</t>
  </si>
  <si>
    <t xml:space="preserve">Login</t>
  </si>
  <si>
    <t xml:space="preserve">Valid login with correct credentials</t>
  </si>
  <si>
    <t xml:space="preserve">1. Navigate to login page
2. Enter valid username
3. Enter valid password
4. Click Login</t>
  </si>
  <si>
    <t xml:space="preserve">User is authenticated and redirected to the inventory/home page</t>
  </si>
  <si>
    <t xml:space="preserve">High</t>
  </si>
  <si>
    <t xml:space="preserve">Not Run</t>
  </si>
  <si>
    <t xml:space="preserve">REG-02</t>
  </si>
  <si>
    <t xml:space="preserve">Login with invalid password</t>
  </si>
  <si>
    <t xml:space="preserve">1. Navigate to login page
2. Enter valid username
3. Enter incorrect password
4. Click Login</t>
  </si>
  <si>
    <t xml:space="preserve">Error message is displayed; user is not logged in</t>
  </si>
  <si>
    <t xml:space="preserve">REG-03</t>
  </si>
  <si>
    <t xml:space="preserve">Login with locked-out / disabled account</t>
  </si>
  <si>
    <t xml:space="preserve">1. Navigate to login page
2. Enter credentials for a locked-out user
3. Click Login</t>
  </si>
  <si>
    <t xml:space="preserve">Appropriate 'account locked' error message is displayed</t>
  </si>
  <si>
    <t xml:space="preserve">Medium</t>
  </si>
  <si>
    <t xml:space="preserve">REG-04</t>
  </si>
  <si>
    <t xml:space="preserve">Login with empty username and/or password</t>
  </si>
  <si>
    <t xml:space="preserve">1. Navigate to login page
2. Leave username and/or password blank
3. Click Login</t>
  </si>
  <si>
    <t xml:space="preserve">Required-field validation error is shown; login is blocked</t>
  </si>
  <si>
    <t xml:space="preserve">REG-05</t>
  </si>
  <si>
    <t xml:space="preserve">Inventory</t>
  </si>
  <si>
    <t xml:space="preserve">Inventory page loads all products</t>
  </si>
  <si>
    <t xml:space="preserve">1. Log in
2. Land on inventory page</t>
  </si>
  <si>
    <t xml:space="preserve">All expected product items are listed with name, image, description and price</t>
  </si>
  <si>
    <t xml:space="preserve">REG-06</t>
  </si>
  <si>
    <t xml:space="preserve">Sort products by name (A–Z / Z–A)</t>
  </si>
  <si>
    <t xml:space="preserve">1. Go to inventory page
2. Select 'Name A-Z' sort option
3. Repeat for 'Name Z-A'</t>
  </si>
  <si>
    <t xml:space="preserve">Product list re-orders alphabetically as selected</t>
  </si>
  <si>
    <t xml:space="preserve">REG-07</t>
  </si>
  <si>
    <t xml:space="preserve">Sort products by price (low–high / high–low)</t>
  </si>
  <si>
    <t xml:space="preserve">1. Go to inventory page
2. Select 'Price low to high'
3. Repeat for 'Price high to low'</t>
  </si>
  <si>
    <t xml:space="preserve">Product list re-orders by price as selected</t>
  </si>
  <si>
    <t xml:space="preserve">REG-08</t>
  </si>
  <si>
    <t xml:space="preserve">Add product to cart from inventory page</t>
  </si>
  <si>
    <t xml:space="preserve">1. Go to inventory page
2. Click 'Add to cart' on a product</t>
  </si>
  <si>
    <t xml:space="preserve">Button changes to 'Remove'; cart icon count increases by 1</t>
  </si>
  <si>
    <t xml:space="preserve">REG-09</t>
  </si>
  <si>
    <t xml:space="preserve">Cart badge reflects correct item count</t>
  </si>
  <si>
    <t xml:space="preserve">1. Add multiple products to cart from inventory page</t>
  </si>
  <si>
    <t xml:space="preserve">Cart icon badge shows the correct running total of items</t>
  </si>
  <si>
    <t xml:space="preserve">REG-10</t>
  </si>
  <si>
    <t xml:space="preserve">Product</t>
  </si>
  <si>
    <t xml:space="preserve">Product detail page displays correct information</t>
  </si>
  <si>
    <t xml:space="preserve">1. Click a product name/image from inventory
2. Review detail page</t>
  </si>
  <si>
    <t xml:space="preserve">Correct name, description, price and image are shown for the selected product</t>
  </si>
  <si>
    <t xml:space="preserve">REG-11</t>
  </si>
  <si>
    <t xml:space="preserve">Add to cart from product detail page</t>
  </si>
  <si>
    <t xml:space="preserve">1. Open a product detail page
2. Click 'Add to cart'</t>
  </si>
  <si>
    <t xml:space="preserve">Item is added to cart; button updates to 'Remove'; cart badge increments</t>
  </si>
  <si>
    <t xml:space="preserve">REG-12</t>
  </si>
  <si>
    <t xml:space="preserve">Back button returns to inventory page</t>
  </si>
  <si>
    <t xml:space="preserve">1. Open a product detail page
2. Click 'Back to products'</t>
  </si>
  <si>
    <t xml:space="preserve">User is returned to the inventory page with prior state intact</t>
  </si>
  <si>
    <t xml:space="preserve">Low</t>
  </si>
  <si>
    <t xml:space="preserve">REG-13</t>
  </si>
  <si>
    <t xml:space="preserve">Cart</t>
  </si>
  <si>
    <t xml:space="preserve">Cart page lists all added items correctly</t>
  </si>
  <si>
    <t xml:space="preserve">1. Add several items to cart
2. Open cart page</t>
  </si>
  <si>
    <t xml:space="preserve">All added items appear with correct name, quantity and price</t>
  </si>
  <si>
    <t xml:space="preserve">REG-14</t>
  </si>
  <si>
    <t xml:space="preserve">Remove item from cart</t>
  </si>
  <si>
    <t xml:space="preserve">1. Open cart with items present
2. Click 'Remove' on an item</t>
  </si>
  <si>
    <t xml:space="preserve">Item is removed from cart list; cart badge count decreases</t>
  </si>
  <si>
    <t xml:space="preserve">REG-15</t>
  </si>
  <si>
    <t xml:space="preserve">Continue Shopping navigates back to inventory</t>
  </si>
  <si>
    <t xml:space="preserve">1. Open cart page
2. Click 'Continue Shopping'</t>
  </si>
  <si>
    <t xml:space="preserve">User is navigated back to the inventory page</t>
  </si>
  <si>
    <t xml:space="preserve">REG-16</t>
  </si>
  <si>
    <t xml:space="preserve">Checkout</t>
  </si>
  <si>
    <t xml:space="preserve">Checkout information form accepts valid data</t>
  </si>
  <si>
    <t xml:space="preserve">1. From cart, click Checkout
2. Enter valid first name, last name, postal code
3. Click Continue</t>
  </si>
  <si>
    <t xml:space="preserve">User proceeds to the order overview/summary step</t>
  </si>
  <si>
    <t xml:space="preserve">REG-17</t>
  </si>
  <si>
    <t xml:space="preserve">Checkout form validates required fields</t>
  </si>
  <si>
    <t xml:space="preserve">1. From cart, click Checkout
2. Leave one or more required fields blank
3. Click Continue</t>
  </si>
  <si>
    <t xml:space="preserve">Validation error is shown; user cannot proceed until fields are completed</t>
  </si>
  <si>
    <t xml:space="preserve">REG-18</t>
  </si>
  <si>
    <t xml:space="preserve">Order summary shows correct item totals and tax</t>
  </si>
  <si>
    <t xml:space="preserve">1. Complete checkout info step
2. Review order overview page</t>
  </si>
  <si>
    <t xml:space="preserve">Item subtotal, tax and total are calculated and displayed correctly</t>
  </si>
  <si>
    <t xml:space="preserve">REG-19</t>
  </si>
  <si>
    <t xml:space="preserve">Complete checkout / finish order flow</t>
  </si>
  <si>
    <t xml:space="preserve">1. Proceed through checkout steps
2. Click 'Finish' on order overview</t>
  </si>
  <si>
    <t xml:space="preserve">Order is placed and completion/confirmation page is displayed</t>
  </si>
  <si>
    <t xml:space="preserve">REG-20</t>
  </si>
  <si>
    <t xml:space="preserve">Order</t>
  </si>
  <si>
    <t xml:space="preserve">Order confirmation page displays success message</t>
  </si>
  <si>
    <t xml:space="preserve">1. Complete a full checkout flow
2. View confirmation page</t>
  </si>
  <si>
    <t xml:space="preserve">Confirmation message and thank-you page render correctly</t>
  </si>
  <si>
    <t xml:space="preserve">REG-21</t>
  </si>
  <si>
    <t xml:space="preserve">Cart is emptied after order completion</t>
  </si>
  <si>
    <t xml:space="preserve">1. Complete a full checkout flow
2. Check cart icon/page</t>
  </si>
  <si>
    <t xml:space="preserve">Cart badge resets to zero and cart page shows no items</t>
  </si>
  <si>
    <t xml:space="preserve">REG-22</t>
  </si>
  <si>
    <t xml:space="preserve">Logout</t>
  </si>
  <si>
    <t xml:space="preserve">Logout redirects user to login page</t>
  </si>
  <si>
    <t xml:space="preserve">1. Log in
2. Open menu and click Logout</t>
  </si>
  <si>
    <t xml:space="preserve">User session ends and the login page is displayed</t>
  </si>
  <si>
    <t xml:space="preserve">REG-23</t>
  </si>
  <si>
    <t xml:space="preserve">Session and cart data cleared after logout</t>
  </si>
  <si>
    <t xml:space="preserve">1. Add items to cart
2. Log out
3. Log back in</t>
  </si>
  <si>
    <t xml:space="preserve">Cart is empty on re-login, confirming session/cart data was cleared</t>
  </si>
  <si>
    <t xml:space="preserve">REG-24</t>
  </si>
  <si>
    <t xml:space="preserve">Validation</t>
  </si>
  <si>
    <t xml:space="preserve">Required-field validation across key forms</t>
  </si>
  <si>
    <t xml:space="preserve">1. Submit login, checkout and other key forms with missing/invalid data</t>
  </si>
  <si>
    <t xml:space="preserve">Each form shows clear, correct validation messaging and blocks submission</t>
  </si>
  <si>
    <t xml:space="preserve">REG-25</t>
  </si>
  <si>
    <t xml:space="preserve">Navigation</t>
  </si>
  <si>
    <t xml:space="preserve">Menu / hamburger navigation links work correctly</t>
  </si>
  <si>
    <t xml:space="preserve">1. Log in
2. Open hamburger/side menu
3. Click each navigation link (e.g. All Items, About, Logout, Reset App State)</t>
  </si>
  <si>
    <t xml:space="preserve">Each link navigates to or performs the correct expected action</t>
  </si>
  <si>
    <t xml:space="preserve">Potential Defects / Bug Log</t>
  </si>
  <si>
    <t xml:space="preserve">All entries below are potential test scenarios only. None have been executed. No item here should be treated as a confirmed/observed defect until it has been executed and evidenced.</t>
  </si>
  <si>
    <t xml:space="preserve">Bug ID</t>
  </si>
  <si>
    <t xml:space="preserve">Related Test ID</t>
  </si>
  <si>
    <t xml:space="preserve">Title / Summary</t>
  </si>
  <si>
    <t xml:space="preserve">Severity</t>
  </si>
  <si>
    <t xml:space="preserve">Steps to Reproduce</t>
  </si>
  <si>
    <t xml:space="preserve">Test Data</t>
  </si>
  <si>
    <t xml:space="preserve">Evidence</t>
  </si>
  <si>
    <t xml:space="preserve">Reported By</t>
  </si>
  <si>
    <t xml:space="preserve">Reported Date</t>
  </si>
  <si>
    <t xml:space="preserve">BUG-SAMPLE-001</t>
  </si>
  <si>
    <t xml:space="preserve">Checkout validation does not identify a missing required field</t>
  </si>
  <si>
    <t xml:space="preserve">Potential test scenario — requires execution</t>
  </si>
  <si>
    <t xml:space="preserve">BUG-SAMPLE-002</t>
  </si>
  <si>
    <t xml:space="preserve">Cart badge may not match selected item count</t>
  </si>
  <si>
    <t xml:space="preserve">BUG-SAMPLE-003</t>
  </si>
  <si>
    <t xml:space="preserve">Sort control may not preserve selection after navigation</t>
  </si>
  <si>
    <t xml:space="preserve">BUG-SAMPLE-004</t>
  </si>
  <si>
    <t xml:space="preserve">Back navigation may expose a stale protected page after logout</t>
  </si>
  <si>
    <t xml:space="preserve">BUG-SAMPLE-005</t>
  </si>
  <si>
    <t xml:space="preserve">Product price may differ between card and overview</t>
  </si>
  <si>
    <t xml:space="preserve">BUG-SAMPLE-006</t>
  </si>
  <si>
    <t xml:space="preserve">Repeated Finish clicks may create duplicate completion behavior</t>
  </si>
  <si>
    <t xml:space="preserve">Critical</t>
  </si>
  <si>
    <t xml:space="preserve">BUG-SAMPLE-007</t>
  </si>
  <si>
    <t xml:space="preserve">Error message may be unclear for invalid login</t>
  </si>
  <si>
    <t xml:space="preserve">BUG-SAMPLE-008</t>
  </si>
  <si>
    <t xml:space="preserve">Confirmation page may not reset cart state</t>
  </si>
  <si>
    <t xml:space="preserve">Regression Testing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</si>
  <si>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</si>
  <si>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</si>
  <si>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</si>
  <si>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</si>
  <si>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In Progress</t>
  </si>
  <si>
    <t xml:space="preserve">Pass Rate</t>
  </si>
  <si>
    <t xml:space="preserve">Test Count</t>
  </si>
  <si>
    <t xml:space="preserve">Potential Defects Logged</t>
  </si>
  <si>
    <t xml:space="preserve">Not Yet Executed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</si>
</sst>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B1A1A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6FA"/>
        <bgColor rgb="FFFBEEEE"/>
      </patternFill>
    </fill>
    <fill>
      <patternFill patternType="solid">
        <fgColor rgb="FF8B1A1A"/>
        <bgColor rgb="FF800000"/>
      </patternFill>
    </fill>
    <fill>
      <patternFill patternType="solid">
        <fgColor rgb="FFA83232"/>
        <bgColor rgb="FF993366"/>
      </patternFill>
    </fill>
    <fill>
      <patternFill patternType="solid">
        <fgColor rgb="FFFBEEEE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 patternType="solid">
          <fgColor rgb="FFA83232"/>
          <bgColor rgb="FF000000"/>
        </patternFill>
      </fill>
    </dxf>
    <dxf>
      <fill>
        <patternFill patternType="solid">
          <fgColor rgb="FFFBEEE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i val="1"/>
        <color rgb="FF808080"/>
      </font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1A1A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EEE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3232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3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10" min="9" style="1" width="14"/>
    <col collapsed="false" customWidth="true" hidden="false" outlineLevel="0" max="11" min="11" style="1" width="2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60" hidden="false" customHeight="true" outlineLevel="0" collapsed="false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/>
      <c r="I5" s="5"/>
      <c r="J5" s="5"/>
      <c r="K5" s="5"/>
    </row>
    <row r="6" customFormat="false" ht="60" hidden="false" customHeight="true" outlineLevel="0" collapsed="false">
      <c r="A6" s="6" t="s">
        <v>20</v>
      </c>
      <c r="B6" s="6" t="s">
        <v>14</v>
      </c>
      <c r="C6" s="6" t="s">
        <v>21</v>
      </c>
      <c r="D6" s="6" t="s">
        <v>22</v>
      </c>
      <c r="E6" s="6" t="s">
        <v>23</v>
      </c>
      <c r="F6" s="6" t="s">
        <v>18</v>
      </c>
      <c r="G6" s="6" t="s">
        <v>19</v>
      </c>
      <c r="H6" s="6"/>
      <c r="I6" s="6"/>
      <c r="J6" s="6"/>
      <c r="K6" s="6"/>
    </row>
    <row r="7" customFormat="false" ht="60" hidden="false" customHeight="true" outlineLevel="0" collapsed="false">
      <c r="A7" s="5" t="s">
        <v>24</v>
      </c>
      <c r="B7" s="5" t="s">
        <v>14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19</v>
      </c>
      <c r="H7" s="5"/>
      <c r="I7" s="5"/>
      <c r="J7" s="5"/>
      <c r="K7" s="5"/>
    </row>
    <row r="8" customFormat="false" ht="60" hidden="false" customHeight="true" outlineLevel="0" collapsed="false">
      <c r="A8" s="6" t="s">
        <v>29</v>
      </c>
      <c r="B8" s="6" t="s">
        <v>14</v>
      </c>
      <c r="C8" s="6" t="s">
        <v>30</v>
      </c>
      <c r="D8" s="6" t="s">
        <v>31</v>
      </c>
      <c r="E8" s="6" t="s">
        <v>32</v>
      </c>
      <c r="F8" s="6" t="s">
        <v>28</v>
      </c>
      <c r="G8" s="6" t="s">
        <v>19</v>
      </c>
      <c r="H8" s="6"/>
      <c r="I8" s="6"/>
      <c r="J8" s="6"/>
      <c r="K8" s="6"/>
    </row>
    <row r="9" customFormat="false" ht="60" hidden="false" customHeight="true" outlineLevel="0" collapsed="false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18</v>
      </c>
      <c r="G9" s="5" t="s">
        <v>19</v>
      </c>
      <c r="H9" s="5"/>
      <c r="I9" s="5"/>
      <c r="J9" s="5"/>
      <c r="K9" s="5"/>
    </row>
    <row r="10" customFormat="false" ht="60" hidden="false" customHeight="true" outlineLevel="0" collapsed="false">
      <c r="A10" s="6" t="s">
        <v>38</v>
      </c>
      <c r="B10" s="6" t="s">
        <v>34</v>
      </c>
      <c r="C10" s="6" t="s">
        <v>39</v>
      </c>
      <c r="D10" s="6" t="s">
        <v>40</v>
      </c>
      <c r="E10" s="6" t="s">
        <v>41</v>
      </c>
      <c r="F10" s="6" t="s">
        <v>28</v>
      </c>
      <c r="G10" s="6" t="s">
        <v>19</v>
      </c>
      <c r="H10" s="6"/>
      <c r="I10" s="6"/>
      <c r="J10" s="6"/>
      <c r="K10" s="6"/>
    </row>
    <row r="11" customFormat="false" ht="60" hidden="false" customHeight="true" outlineLevel="0" collapsed="false">
      <c r="A11" s="5" t="s">
        <v>42</v>
      </c>
      <c r="B11" s="5" t="s">
        <v>34</v>
      </c>
      <c r="C11" s="5" t="s">
        <v>43</v>
      </c>
      <c r="D11" s="5" t="s">
        <v>44</v>
      </c>
      <c r="E11" s="5" t="s">
        <v>45</v>
      </c>
      <c r="F11" s="5" t="s">
        <v>28</v>
      </c>
      <c r="G11" s="5" t="s">
        <v>19</v>
      </c>
      <c r="H11" s="5"/>
      <c r="I11" s="5"/>
      <c r="J11" s="5"/>
      <c r="K11" s="5"/>
    </row>
    <row r="12" customFormat="false" ht="60" hidden="false" customHeight="true" outlineLevel="0" collapsed="false">
      <c r="A12" s="6" t="s">
        <v>46</v>
      </c>
      <c r="B12" s="6" t="s">
        <v>34</v>
      </c>
      <c r="C12" s="6" t="s">
        <v>47</v>
      </c>
      <c r="D12" s="6" t="s">
        <v>48</v>
      </c>
      <c r="E12" s="6" t="s">
        <v>49</v>
      </c>
      <c r="F12" s="6" t="s">
        <v>18</v>
      </c>
      <c r="G12" s="6" t="s">
        <v>19</v>
      </c>
      <c r="H12" s="6"/>
      <c r="I12" s="6"/>
      <c r="J12" s="6"/>
      <c r="K12" s="6"/>
    </row>
    <row r="13" customFormat="false" ht="60" hidden="false" customHeight="true" outlineLevel="0" collapsed="false">
      <c r="A13" s="5" t="s">
        <v>50</v>
      </c>
      <c r="B13" s="5" t="s">
        <v>34</v>
      </c>
      <c r="C13" s="5" t="s">
        <v>51</v>
      </c>
      <c r="D13" s="5" t="s">
        <v>52</v>
      </c>
      <c r="E13" s="5" t="s">
        <v>53</v>
      </c>
      <c r="F13" s="5" t="s">
        <v>28</v>
      </c>
      <c r="G13" s="5" t="s">
        <v>19</v>
      </c>
      <c r="H13" s="5"/>
      <c r="I13" s="5"/>
      <c r="J13" s="5"/>
      <c r="K13" s="5"/>
    </row>
    <row r="14" customFormat="false" ht="60" hidden="false" customHeight="true" outlineLevel="0" collapsed="false">
      <c r="A14" s="6" t="s">
        <v>54</v>
      </c>
      <c r="B14" s="6" t="s">
        <v>55</v>
      </c>
      <c r="C14" s="6" t="s">
        <v>56</v>
      </c>
      <c r="D14" s="6" t="s">
        <v>57</v>
      </c>
      <c r="E14" s="6" t="s">
        <v>58</v>
      </c>
      <c r="F14" s="6" t="s">
        <v>28</v>
      </c>
      <c r="G14" s="6" t="s">
        <v>19</v>
      </c>
      <c r="H14" s="6"/>
      <c r="I14" s="6"/>
      <c r="J14" s="6"/>
      <c r="K14" s="6"/>
    </row>
    <row r="15" customFormat="false" ht="60" hidden="false" customHeight="true" outlineLevel="0" collapsed="false">
      <c r="A15" s="5" t="s">
        <v>59</v>
      </c>
      <c r="B15" s="5" t="s">
        <v>55</v>
      </c>
      <c r="C15" s="5" t="s">
        <v>60</v>
      </c>
      <c r="D15" s="5" t="s">
        <v>61</v>
      </c>
      <c r="E15" s="5" t="s">
        <v>62</v>
      </c>
      <c r="F15" s="5" t="s">
        <v>18</v>
      </c>
      <c r="G15" s="5" t="s">
        <v>19</v>
      </c>
      <c r="H15" s="5"/>
      <c r="I15" s="5"/>
      <c r="J15" s="5"/>
      <c r="K15" s="5"/>
    </row>
    <row r="16" customFormat="false" ht="60" hidden="false" customHeight="true" outlineLevel="0" collapsed="false">
      <c r="A16" s="6" t="s">
        <v>63</v>
      </c>
      <c r="B16" s="6" t="s">
        <v>55</v>
      </c>
      <c r="C16" s="6" t="s">
        <v>64</v>
      </c>
      <c r="D16" s="6" t="s">
        <v>65</v>
      </c>
      <c r="E16" s="6" t="s">
        <v>66</v>
      </c>
      <c r="F16" s="6" t="s">
        <v>67</v>
      </c>
      <c r="G16" s="6" t="s">
        <v>19</v>
      </c>
      <c r="H16" s="6"/>
      <c r="I16" s="6"/>
      <c r="J16" s="6"/>
      <c r="K16" s="6"/>
    </row>
    <row r="17" customFormat="false" ht="60" hidden="false" customHeight="true" outlineLevel="0" collapsed="false">
      <c r="A17" s="5" t="s">
        <v>68</v>
      </c>
      <c r="B17" s="5" t="s">
        <v>69</v>
      </c>
      <c r="C17" s="5" t="s">
        <v>70</v>
      </c>
      <c r="D17" s="5" t="s">
        <v>71</v>
      </c>
      <c r="E17" s="5" t="s">
        <v>72</v>
      </c>
      <c r="F17" s="5" t="s">
        <v>18</v>
      </c>
      <c r="G17" s="5" t="s">
        <v>19</v>
      </c>
      <c r="H17" s="5"/>
      <c r="I17" s="5"/>
      <c r="J17" s="5"/>
      <c r="K17" s="5"/>
    </row>
    <row r="18" customFormat="false" ht="60" hidden="false" customHeight="true" outlineLevel="0" collapsed="false">
      <c r="A18" s="6" t="s">
        <v>73</v>
      </c>
      <c r="B18" s="6" t="s">
        <v>69</v>
      </c>
      <c r="C18" s="6" t="s">
        <v>74</v>
      </c>
      <c r="D18" s="6" t="s">
        <v>75</v>
      </c>
      <c r="E18" s="6" t="s">
        <v>76</v>
      </c>
      <c r="F18" s="6" t="s">
        <v>18</v>
      </c>
      <c r="G18" s="6" t="s">
        <v>19</v>
      </c>
      <c r="H18" s="6"/>
      <c r="I18" s="6"/>
      <c r="J18" s="6"/>
      <c r="K18" s="6"/>
    </row>
    <row r="19" customFormat="false" ht="60" hidden="false" customHeight="true" outlineLevel="0" collapsed="false">
      <c r="A19" s="5" t="s">
        <v>77</v>
      </c>
      <c r="B19" s="5" t="s">
        <v>69</v>
      </c>
      <c r="C19" s="5" t="s">
        <v>78</v>
      </c>
      <c r="D19" s="5" t="s">
        <v>79</v>
      </c>
      <c r="E19" s="5" t="s">
        <v>80</v>
      </c>
      <c r="F19" s="5" t="s">
        <v>67</v>
      </c>
      <c r="G19" s="5" t="s">
        <v>19</v>
      </c>
      <c r="H19" s="5"/>
      <c r="I19" s="5"/>
      <c r="J19" s="5"/>
      <c r="K19" s="5"/>
    </row>
    <row r="20" customFormat="false" ht="60" hidden="false" customHeight="true" outlineLevel="0" collapsed="false">
      <c r="A20" s="6" t="s">
        <v>81</v>
      </c>
      <c r="B20" s="6" t="s">
        <v>82</v>
      </c>
      <c r="C20" s="6" t="s">
        <v>83</v>
      </c>
      <c r="D20" s="6" t="s">
        <v>84</v>
      </c>
      <c r="E20" s="6" t="s">
        <v>85</v>
      </c>
      <c r="F20" s="6" t="s">
        <v>18</v>
      </c>
      <c r="G20" s="6" t="s">
        <v>19</v>
      </c>
      <c r="H20" s="6"/>
      <c r="I20" s="6"/>
      <c r="J20" s="6"/>
      <c r="K20" s="6"/>
    </row>
    <row r="21" customFormat="false" ht="60" hidden="false" customHeight="true" outlineLevel="0" collapsed="false">
      <c r="A21" s="5" t="s">
        <v>86</v>
      </c>
      <c r="B21" s="5" t="s">
        <v>82</v>
      </c>
      <c r="C21" s="5" t="s">
        <v>87</v>
      </c>
      <c r="D21" s="5" t="s">
        <v>88</v>
      </c>
      <c r="E21" s="5" t="s">
        <v>89</v>
      </c>
      <c r="F21" s="5" t="s">
        <v>18</v>
      </c>
      <c r="G21" s="5" t="s">
        <v>19</v>
      </c>
      <c r="H21" s="5"/>
      <c r="I21" s="5"/>
      <c r="J21" s="5"/>
      <c r="K21" s="5"/>
    </row>
    <row r="22" customFormat="false" ht="60" hidden="false" customHeight="true" outlineLevel="0" collapsed="false">
      <c r="A22" s="6" t="s">
        <v>90</v>
      </c>
      <c r="B22" s="6" t="s">
        <v>82</v>
      </c>
      <c r="C22" s="6" t="s">
        <v>91</v>
      </c>
      <c r="D22" s="6" t="s">
        <v>92</v>
      </c>
      <c r="E22" s="6" t="s">
        <v>93</v>
      </c>
      <c r="F22" s="6" t="s">
        <v>18</v>
      </c>
      <c r="G22" s="6" t="s">
        <v>19</v>
      </c>
      <c r="H22" s="6"/>
      <c r="I22" s="6"/>
      <c r="J22" s="6"/>
      <c r="K22" s="6"/>
    </row>
    <row r="23" customFormat="false" ht="60" hidden="false" customHeight="true" outlineLevel="0" collapsed="false">
      <c r="A23" s="5" t="s">
        <v>94</v>
      </c>
      <c r="B23" s="5" t="s">
        <v>82</v>
      </c>
      <c r="C23" s="5" t="s">
        <v>95</v>
      </c>
      <c r="D23" s="5" t="s">
        <v>96</v>
      </c>
      <c r="E23" s="5" t="s">
        <v>97</v>
      </c>
      <c r="F23" s="5" t="s">
        <v>18</v>
      </c>
      <c r="G23" s="5" t="s">
        <v>19</v>
      </c>
      <c r="H23" s="5"/>
      <c r="I23" s="5"/>
      <c r="J23" s="5"/>
      <c r="K23" s="5"/>
    </row>
    <row r="24" customFormat="false" ht="60" hidden="false" customHeight="true" outlineLevel="0" collapsed="false">
      <c r="A24" s="6" t="s">
        <v>98</v>
      </c>
      <c r="B24" s="6" t="s">
        <v>99</v>
      </c>
      <c r="C24" s="6" t="s">
        <v>100</v>
      </c>
      <c r="D24" s="6" t="s">
        <v>101</v>
      </c>
      <c r="E24" s="6" t="s">
        <v>102</v>
      </c>
      <c r="F24" s="6" t="s">
        <v>28</v>
      </c>
      <c r="G24" s="6" t="s">
        <v>19</v>
      </c>
      <c r="H24" s="6"/>
      <c r="I24" s="6"/>
      <c r="J24" s="6"/>
      <c r="K24" s="6"/>
    </row>
    <row r="25" customFormat="false" ht="60" hidden="false" customHeight="true" outlineLevel="0" collapsed="false">
      <c r="A25" s="5" t="s">
        <v>103</v>
      </c>
      <c r="B25" s="5" t="s">
        <v>99</v>
      </c>
      <c r="C25" s="5" t="s">
        <v>104</v>
      </c>
      <c r="D25" s="5" t="s">
        <v>105</v>
      </c>
      <c r="E25" s="5" t="s">
        <v>106</v>
      </c>
      <c r="F25" s="5" t="s">
        <v>28</v>
      </c>
      <c r="G25" s="5" t="s">
        <v>19</v>
      </c>
      <c r="H25" s="5"/>
      <c r="I25" s="5"/>
      <c r="J25" s="5"/>
      <c r="K25" s="5"/>
    </row>
    <row r="26" customFormat="false" ht="60" hidden="false" customHeight="true" outlineLevel="0" collapsed="false">
      <c r="A26" s="6" t="s">
        <v>107</v>
      </c>
      <c r="B26" s="6" t="s">
        <v>108</v>
      </c>
      <c r="C26" s="6" t="s">
        <v>109</v>
      </c>
      <c r="D26" s="6" t="s">
        <v>110</v>
      </c>
      <c r="E26" s="6" t="s">
        <v>111</v>
      </c>
      <c r="F26" s="6" t="s">
        <v>18</v>
      </c>
      <c r="G26" s="6" t="s">
        <v>19</v>
      </c>
      <c r="H26" s="6"/>
      <c r="I26" s="6"/>
      <c r="J26" s="6"/>
      <c r="K26" s="6"/>
    </row>
    <row r="27" customFormat="false" ht="60" hidden="false" customHeight="true" outlineLevel="0" collapsed="false">
      <c r="A27" s="5" t="s">
        <v>112</v>
      </c>
      <c r="B27" s="5" t="s">
        <v>108</v>
      </c>
      <c r="C27" s="5" t="s">
        <v>113</v>
      </c>
      <c r="D27" s="5" t="s">
        <v>114</v>
      </c>
      <c r="E27" s="5" t="s">
        <v>115</v>
      </c>
      <c r="F27" s="5" t="s">
        <v>28</v>
      </c>
      <c r="G27" s="5" t="s">
        <v>19</v>
      </c>
      <c r="H27" s="5"/>
      <c r="I27" s="5"/>
      <c r="J27" s="5"/>
      <c r="K27" s="5"/>
    </row>
    <row r="28" customFormat="false" ht="60" hidden="false" customHeight="true" outlineLevel="0" collapsed="false">
      <c r="A28" s="6" t="s">
        <v>116</v>
      </c>
      <c r="B28" s="6" t="s">
        <v>117</v>
      </c>
      <c r="C28" s="6" t="s">
        <v>118</v>
      </c>
      <c r="D28" s="6" t="s">
        <v>119</v>
      </c>
      <c r="E28" s="6" t="s">
        <v>120</v>
      </c>
      <c r="F28" s="6" t="s">
        <v>18</v>
      </c>
      <c r="G28" s="6" t="s">
        <v>19</v>
      </c>
      <c r="H28" s="6"/>
      <c r="I28" s="6"/>
      <c r="J28" s="6"/>
      <c r="K28" s="6"/>
    </row>
    <row r="29" customFormat="false" ht="60" hidden="false" customHeight="true" outlineLevel="0" collapsed="false">
      <c r="A29" s="5" t="s">
        <v>121</v>
      </c>
      <c r="B29" s="5" t="s">
        <v>122</v>
      </c>
      <c r="C29" s="5" t="s">
        <v>123</v>
      </c>
      <c r="D29" s="5" t="s">
        <v>124</v>
      </c>
      <c r="E29" s="5" t="s">
        <v>125</v>
      </c>
      <c r="F29" s="5" t="s">
        <v>28</v>
      </c>
      <c r="G29" s="5" t="s">
        <v>19</v>
      </c>
      <c r="H29" s="5"/>
      <c r="I29" s="5"/>
      <c r="J29" s="5"/>
      <c r="K29" s="5"/>
    </row>
  </sheetData>
  <autoFilter ref="A4:K29"/>
  <mergeCells count="2">
    <mergeCell ref="A1:K1"/>
    <mergeCell ref="A2:K2"/>
  </mergeCells>
  <conditionalFormatting sqref="G5:G29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Run"</formula>
    </cfRule>
  </conditionalFormatting>
  <dataValidations count="2">
    <dataValidation allowBlank="true" errorStyle="stop" operator="between" showDropDown="false" showErrorMessage="false" showInputMessage="false" sqref="G5:G29" type="list">
      <formula1>"Not Run,Pass,Fail,Blocked,In Progress"</formula1>
      <formula2>0</formula2>
    </dataValidation>
    <dataValidation allowBlank="true" errorStyle="stop" operator="between" showDropDown="false" showErrorMessage="false" showInputMessage="false" sqref="F5:F2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9" min="7" style="0" width="30"/>
    <col collapsed="false" customWidth="true" hidden="false" outlineLevel="0" max="11" min="10" style="0" width="24"/>
    <col collapsed="false" customWidth="true" hidden="false" outlineLevel="0" max="13" min="12" style="0" width="16"/>
    <col collapsed="false" customWidth="true" hidden="false" outlineLevel="0" max="14" min="14" style="0" width="22"/>
  </cols>
  <sheetData>
    <row r="1" customFormat="false" ht="27.75" hidden="false" customHeight="true" outlineLevel="0" collapsed="false">
      <c r="A1" s="7" t="s">
        <v>126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30" hidden="false" customHeight="true" outlineLevel="0" collapsed="false">
      <c r="A2" s="8" t="s">
        <v>127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23.85" hidden="false" customHeight="false" outlineLevel="0" collapsed="false">
      <c r="A4" s="9" t="s">
        <v>128</v>
      </c>
      <c r="B4" s="9" t="s">
        <v>129</v>
      </c>
      <c r="C4" s="9" t="s">
        <v>130</v>
      </c>
      <c r="D4" s="9" t="s">
        <v>131</v>
      </c>
      <c r="E4" s="9" t="s">
        <v>7</v>
      </c>
      <c r="F4" s="9" t="s">
        <v>8</v>
      </c>
      <c r="G4" s="9" t="s">
        <v>132</v>
      </c>
      <c r="H4" s="9" t="s">
        <v>6</v>
      </c>
      <c r="I4" s="9" t="s">
        <v>9</v>
      </c>
      <c r="J4" s="9" t="s">
        <v>133</v>
      </c>
      <c r="K4" s="9" t="s">
        <v>134</v>
      </c>
      <c r="L4" s="9" t="s">
        <v>135</v>
      </c>
      <c r="M4" s="9" t="s">
        <v>136</v>
      </c>
      <c r="N4" s="9" t="s">
        <v>12</v>
      </c>
    </row>
    <row r="5" customFormat="false" ht="33.75" hidden="false" customHeight="true" outlineLevel="0" collapsed="false">
      <c r="A5" s="5" t="s">
        <v>137</v>
      </c>
      <c r="B5" s="5" t="s">
        <v>86</v>
      </c>
      <c r="C5" s="5" t="s">
        <v>138</v>
      </c>
      <c r="D5" s="5" t="s">
        <v>18</v>
      </c>
      <c r="E5" s="5" t="s">
        <v>18</v>
      </c>
      <c r="F5" s="10" t="s">
        <v>139</v>
      </c>
      <c r="G5" s="10" t="s">
        <v>139</v>
      </c>
      <c r="H5" s="10" t="s">
        <v>139</v>
      </c>
      <c r="I5" s="10" t="s">
        <v>139</v>
      </c>
      <c r="J5" s="10" t="s">
        <v>139</v>
      </c>
      <c r="K5" s="10" t="s">
        <v>139</v>
      </c>
      <c r="L5" s="10" t="s">
        <v>139</v>
      </c>
      <c r="M5" s="10" t="s">
        <v>139</v>
      </c>
      <c r="N5" s="5"/>
    </row>
    <row r="6" customFormat="false" ht="33.75" hidden="false" customHeight="true" outlineLevel="0" collapsed="false">
      <c r="A6" s="11" t="s">
        <v>140</v>
      </c>
      <c r="B6" s="11" t="s">
        <v>50</v>
      </c>
      <c r="C6" s="11" t="s">
        <v>141</v>
      </c>
      <c r="D6" s="11" t="s">
        <v>28</v>
      </c>
      <c r="E6" s="11" t="s">
        <v>18</v>
      </c>
      <c r="F6" s="12" t="s">
        <v>139</v>
      </c>
      <c r="G6" s="12" t="s">
        <v>139</v>
      </c>
      <c r="H6" s="12" t="s">
        <v>139</v>
      </c>
      <c r="I6" s="12" t="s">
        <v>139</v>
      </c>
      <c r="J6" s="12" t="s">
        <v>139</v>
      </c>
      <c r="K6" s="12" t="s">
        <v>139</v>
      </c>
      <c r="L6" s="12" t="s">
        <v>139</v>
      </c>
      <c r="M6" s="12" t="s">
        <v>139</v>
      </c>
      <c r="N6" s="11"/>
    </row>
    <row r="7" customFormat="false" ht="33.75" hidden="false" customHeight="true" outlineLevel="0" collapsed="false">
      <c r="A7" s="5" t="s">
        <v>142</v>
      </c>
      <c r="B7" s="5" t="s">
        <v>38</v>
      </c>
      <c r="C7" s="5" t="s">
        <v>143</v>
      </c>
      <c r="D7" s="5" t="s">
        <v>67</v>
      </c>
      <c r="E7" s="5" t="s">
        <v>67</v>
      </c>
      <c r="F7" s="10" t="s">
        <v>139</v>
      </c>
      <c r="G7" s="10" t="s">
        <v>139</v>
      </c>
      <c r="H7" s="10" t="s">
        <v>139</v>
      </c>
      <c r="I7" s="10" t="s">
        <v>139</v>
      </c>
      <c r="J7" s="10" t="s">
        <v>139</v>
      </c>
      <c r="K7" s="10" t="s">
        <v>139</v>
      </c>
      <c r="L7" s="10" t="s">
        <v>139</v>
      </c>
      <c r="M7" s="10" t="s">
        <v>139</v>
      </c>
      <c r="N7" s="5"/>
    </row>
    <row r="8" customFormat="false" ht="33.75" hidden="false" customHeight="true" outlineLevel="0" collapsed="false">
      <c r="A8" s="11" t="s">
        <v>144</v>
      </c>
      <c r="B8" s="11" t="s">
        <v>107</v>
      </c>
      <c r="C8" s="11" t="s">
        <v>145</v>
      </c>
      <c r="D8" s="11" t="s">
        <v>18</v>
      </c>
      <c r="E8" s="11" t="s">
        <v>18</v>
      </c>
      <c r="F8" s="12" t="s">
        <v>139</v>
      </c>
      <c r="G8" s="12" t="s">
        <v>139</v>
      </c>
      <c r="H8" s="12" t="s">
        <v>139</v>
      </c>
      <c r="I8" s="12" t="s">
        <v>139</v>
      </c>
      <c r="J8" s="12" t="s">
        <v>139</v>
      </c>
      <c r="K8" s="12" t="s">
        <v>139</v>
      </c>
      <c r="L8" s="12" t="s">
        <v>139</v>
      </c>
      <c r="M8" s="12" t="s">
        <v>139</v>
      </c>
      <c r="N8" s="11"/>
    </row>
    <row r="9" customFormat="false" ht="33.75" hidden="false" customHeight="true" outlineLevel="0" collapsed="false">
      <c r="A9" s="5" t="s">
        <v>146</v>
      </c>
      <c r="B9" s="5" t="s">
        <v>54</v>
      </c>
      <c r="C9" s="5" t="s">
        <v>147</v>
      </c>
      <c r="D9" s="5" t="s">
        <v>18</v>
      </c>
      <c r="E9" s="5" t="s">
        <v>18</v>
      </c>
      <c r="F9" s="10" t="s">
        <v>139</v>
      </c>
      <c r="G9" s="10" t="s">
        <v>139</v>
      </c>
      <c r="H9" s="10" t="s">
        <v>139</v>
      </c>
      <c r="I9" s="10" t="s">
        <v>139</v>
      </c>
      <c r="J9" s="10" t="s">
        <v>139</v>
      </c>
      <c r="K9" s="10" t="s">
        <v>139</v>
      </c>
      <c r="L9" s="10" t="s">
        <v>139</v>
      </c>
      <c r="M9" s="10" t="s">
        <v>139</v>
      </c>
      <c r="N9" s="5"/>
    </row>
    <row r="10" customFormat="false" ht="33.75" hidden="false" customHeight="true" outlineLevel="0" collapsed="false">
      <c r="A10" s="11" t="s">
        <v>148</v>
      </c>
      <c r="B10" s="11" t="s">
        <v>94</v>
      </c>
      <c r="C10" s="11" t="s">
        <v>149</v>
      </c>
      <c r="D10" s="11" t="s">
        <v>150</v>
      </c>
      <c r="E10" s="11" t="s">
        <v>18</v>
      </c>
      <c r="F10" s="12" t="s">
        <v>139</v>
      </c>
      <c r="G10" s="12" t="s">
        <v>139</v>
      </c>
      <c r="H10" s="12" t="s">
        <v>139</v>
      </c>
      <c r="I10" s="12" t="s">
        <v>139</v>
      </c>
      <c r="J10" s="12" t="s">
        <v>139</v>
      </c>
      <c r="K10" s="12" t="s">
        <v>139</v>
      </c>
      <c r="L10" s="12" t="s">
        <v>139</v>
      </c>
      <c r="M10" s="12" t="s">
        <v>139</v>
      </c>
      <c r="N10" s="11"/>
    </row>
    <row r="11" customFormat="false" ht="33.75" hidden="false" customHeight="true" outlineLevel="0" collapsed="false">
      <c r="A11" s="5" t="s">
        <v>151</v>
      </c>
      <c r="B11" s="5" t="s">
        <v>20</v>
      </c>
      <c r="C11" s="5" t="s">
        <v>152</v>
      </c>
      <c r="D11" s="5" t="s">
        <v>67</v>
      </c>
      <c r="E11" s="5" t="s">
        <v>67</v>
      </c>
      <c r="F11" s="10" t="s">
        <v>139</v>
      </c>
      <c r="G11" s="10" t="s">
        <v>139</v>
      </c>
      <c r="H11" s="10" t="s">
        <v>139</v>
      </c>
      <c r="I11" s="10" t="s">
        <v>139</v>
      </c>
      <c r="J11" s="10" t="s">
        <v>139</v>
      </c>
      <c r="K11" s="10" t="s">
        <v>139</v>
      </c>
      <c r="L11" s="10" t="s">
        <v>139</v>
      </c>
      <c r="M11" s="10" t="s">
        <v>139</v>
      </c>
      <c r="N11" s="5"/>
    </row>
    <row r="12" customFormat="false" ht="33.75" hidden="false" customHeight="true" outlineLevel="0" collapsed="false">
      <c r="A12" s="11" t="s">
        <v>153</v>
      </c>
      <c r="B12" s="11" t="s">
        <v>103</v>
      </c>
      <c r="C12" s="11" t="s">
        <v>154</v>
      </c>
      <c r="D12" s="11" t="s">
        <v>28</v>
      </c>
      <c r="E12" s="11" t="s">
        <v>28</v>
      </c>
      <c r="F12" s="12" t="s">
        <v>139</v>
      </c>
      <c r="G12" s="12" t="s">
        <v>139</v>
      </c>
      <c r="H12" s="12" t="s">
        <v>139</v>
      </c>
      <c r="I12" s="12" t="s">
        <v>139</v>
      </c>
      <c r="J12" s="12" t="s">
        <v>139</v>
      </c>
      <c r="K12" s="12" t="s">
        <v>139</v>
      </c>
      <c r="L12" s="12" t="s">
        <v>139</v>
      </c>
      <c r="M12" s="12" t="s">
        <v>139</v>
      </c>
      <c r="N12" s="11"/>
    </row>
  </sheetData>
  <autoFilter ref="A4:N12"/>
  <mergeCells count="2">
    <mergeCell ref="A1:N1"/>
    <mergeCell ref="A2:N2"/>
  </mergeCells>
  <conditionalFormatting sqref="D5:D12">
    <cfRule type="cellIs" priority="2" operator="equal" aboveAverage="0" equalAverage="0" bottom="0" percent="0" rank="0" text="" dxfId="16">
      <formula>"Critical"</formula>
    </cfRule>
    <cfRule type="cellIs" priority="3" operator="equal" aboveAverage="0" equalAverage="0" bottom="0" percent="0" rank="0" text="" dxfId="17">
      <formula>"High"</formula>
    </cfRule>
    <cfRule type="cellIs" priority="4" operator="equal" aboveAverage="0" equalAverage="0" bottom="0" percent="0" rank="0" text="" dxfId="18">
      <formula>"Medium"</formula>
    </cfRule>
    <cfRule type="cellIs" priority="5" operator="equal" aboveAverage="0" equalAverage="0" bottom="0" percent="0" rank="0" text="" dxfId="19">
      <formula>"Low"</formula>
    </cfRule>
  </conditionalFormatting>
  <conditionalFormatting sqref="F5:F12">
    <cfRule type="cellIs" priority="6" operator="equal" aboveAverage="0" equalAverage="0" bottom="0" percent="0" rank="0" text="" dxfId="20">
      <formula>"Potential test scenario — requires execution"</formula>
    </cfRule>
  </conditionalFormatting>
  <dataValidations count="3">
    <dataValidation allowBlank="true" errorStyle="stop" operator="between" showDropDown="false" showErrorMessage="false" showInputMessage="false" sqref="D5:D12" type="list">
      <formula1>"Critical,High,Medium,Low"</formula1>
      <formula2>0</formula2>
    </dataValidation>
    <dataValidation allowBlank="true" errorStyle="stop" operator="between" showDropDown="false" showErrorMessage="false" showInputMessage="false" sqref="E5:E12" type="list">
      <formula1>"High,Medium,Low"</formula1>
      <formula2>0</formula2>
    </dataValidation>
    <dataValidation allowBlank="true" errorStyle="stop" operator="between" showDropDown="false" showErrorMessage="false" showInputMessage="false" sqref="F5:F12" type="list">
      <formula1>"Potential test scenario — requires execution,Confirmed,Not a Defect,Fixed,Closed,Duplicate"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</cols>
  <sheetData>
    <row r="1" customFormat="false" ht="24" hidden="false" customHeight="true" outlineLevel="0" collapsed="false">
      <c r="A1" s="13" t="s">
        <v>155</v>
      </c>
      <c r="B1" s="13"/>
    </row>
    <row r="3" customFormat="false" ht="15" hidden="false" customHeight="true" outlineLevel="0" collapsed="false">
      <c r="A3" s="14" t="s">
        <v>156</v>
      </c>
      <c r="B3" s="15" t="n">
        <f aca="false">COUNTA('Regression Test Cases'!A5:A29)</f>
        <v>25</v>
      </c>
    </row>
    <row r="4" customFormat="false" ht="15" hidden="false" customHeight="true" outlineLevel="0" collapsed="false">
      <c r="A4" s="14" t="s">
        <v>157</v>
      </c>
      <c r="B4" s="15" t="n">
        <f aca="false">COUNTIF('Regression Test Cases'!G5:G29,"Pass")</f>
        <v>0</v>
      </c>
    </row>
    <row r="5" customFormat="false" ht="15" hidden="false" customHeight="true" outlineLevel="0" collapsed="false">
      <c r="A5" s="14" t="s">
        <v>158</v>
      </c>
      <c r="B5" s="15" t="n">
        <f aca="false">COUNTIF('Regression Test Cases'!G5:G29,"Fail")</f>
        <v>0</v>
      </c>
    </row>
    <row r="6" customFormat="false" ht="15" hidden="false" customHeight="true" outlineLevel="0" collapsed="false">
      <c r="A6" s="14" t="s">
        <v>159</v>
      </c>
      <c r="B6" s="15" t="n">
        <f aca="false">COUNTIF('Regression Test Cases'!G5:G29,"Blocked")</f>
        <v>0</v>
      </c>
    </row>
    <row r="7" customFormat="false" ht="15" hidden="false" customHeight="true" outlineLevel="0" collapsed="false">
      <c r="A7" s="14" t="s">
        <v>160</v>
      </c>
      <c r="B7" s="15" t="n">
        <f aca="false">COUNTIF('Regression Test Cases'!G5:G29,"In Progress")</f>
        <v>0</v>
      </c>
    </row>
    <row r="8" customFormat="false" ht="15" hidden="false" customHeight="true" outlineLevel="0" collapsed="false">
      <c r="A8" s="14" t="s">
        <v>19</v>
      </c>
      <c r="B8" s="15" t="n">
        <f aca="false">COUNTIF('Regression Test Cases'!G5:G29,"Not Run")</f>
        <v>25</v>
      </c>
    </row>
    <row r="9" customFormat="false" ht="15" hidden="false" customHeight="true" outlineLevel="0" collapsed="false">
      <c r="A9" s="14" t="s">
        <v>161</v>
      </c>
      <c r="B9" s="16" t="n">
        <f aca="false">IFERROR(B4/B3,0)</f>
        <v>0</v>
      </c>
    </row>
    <row r="11" customFormat="false" ht="15" hidden="false" customHeight="true" outlineLevel="0" collapsed="false">
      <c r="A11" s="17" t="s">
        <v>3</v>
      </c>
      <c r="B11" s="17" t="s">
        <v>162</v>
      </c>
    </row>
    <row r="12" customFormat="false" ht="15" hidden="false" customHeight="true" outlineLevel="0" collapsed="false">
      <c r="A12" s="18" t="s">
        <v>14</v>
      </c>
      <c r="B12" s="19" t="n">
        <f aca="false">COUNTIF('Regression Test Cases'!B5:B29,A12)</f>
        <v>4</v>
      </c>
    </row>
    <row r="13" customFormat="false" ht="15" hidden="false" customHeight="true" outlineLevel="0" collapsed="false">
      <c r="A13" s="18" t="s">
        <v>34</v>
      </c>
      <c r="B13" s="19" t="n">
        <f aca="false">COUNTIF('Regression Test Cases'!B5:B29,A13)</f>
        <v>5</v>
      </c>
    </row>
    <row r="14" customFormat="false" ht="15" hidden="false" customHeight="true" outlineLevel="0" collapsed="false">
      <c r="A14" s="18" t="s">
        <v>55</v>
      </c>
      <c r="B14" s="19" t="n">
        <f aca="false">COUNTIF('Regression Test Cases'!B5:B29,A14)</f>
        <v>3</v>
      </c>
    </row>
    <row r="15" customFormat="false" ht="15" hidden="false" customHeight="true" outlineLevel="0" collapsed="false">
      <c r="A15" s="18" t="s">
        <v>69</v>
      </c>
      <c r="B15" s="19" t="n">
        <f aca="false">COUNTIF('Regression Test Cases'!B5:B29,A15)</f>
        <v>3</v>
      </c>
    </row>
    <row r="16" customFormat="false" ht="15" hidden="false" customHeight="true" outlineLevel="0" collapsed="false">
      <c r="A16" s="18" t="s">
        <v>82</v>
      </c>
      <c r="B16" s="19" t="n">
        <f aca="false">COUNTIF('Regression Test Cases'!B5:B29,A16)</f>
        <v>4</v>
      </c>
    </row>
    <row r="17" customFormat="false" ht="15" hidden="false" customHeight="true" outlineLevel="0" collapsed="false">
      <c r="A17" s="14" t="s">
        <v>163</v>
      </c>
      <c r="B17" s="15" t="n">
        <f aca="false">COUNTA('Bug Log'!A5:A12)</f>
        <v>8</v>
      </c>
    </row>
    <row r="18" customFormat="false" ht="15" hidden="false" customHeight="true" outlineLevel="0" collapsed="false">
      <c r="A18" s="14" t="s">
        <v>164</v>
      </c>
      <c r="B18" s="15" t="n">
        <f aca="false">COUNTIF('Bug Log'!F5:F12,"Potential test scenario — requires execution")</f>
        <v>8</v>
      </c>
    </row>
    <row r="19" customFormat="false" ht="15" hidden="false" customHeight="true" outlineLevel="0" collapsed="false">
      <c r="A19" s="18" t="s">
        <v>117</v>
      </c>
      <c r="B19" s="19" t="n">
        <f aca="false">COUNTIF('Regression Test Cases'!B5:B29,A19)</f>
        <v>1</v>
      </c>
    </row>
    <row r="20" customFormat="false" ht="15" hidden="false" customHeight="true" outlineLevel="0" collapsed="false">
      <c r="A20" s="18" t="s">
        <v>122</v>
      </c>
      <c r="B20" s="19" t="n">
        <f aca="false">COUNTIF('Regression Test Cases'!B5:B29,A20)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2026-09-03T03:04:21Z</dcterms:created>
  <dc:creator>openpyxl</dc:creator>
  <dc:description/>
  <dc:language>en-US</dc:language>
  <cp:lastModifiedBy/>
  <dcterms:modified xsi:type="dcterms:W3CDTF">2026-09-03T03:06:29Z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