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 Matrix" sheetId="1" state="visible" r:id="rId3"/>
    <sheet name="Summary" sheetId="2" state="visible" r:id="rId4"/>
  </sheets>
  <definedNames>
    <definedName function="false" hidden="true" localSheetId="0" name="_xlnm._FilterDatabase" vbProcedure="false">'Traceability Matrix'!$A$4:$G$22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<sst xmlns="http://schemas.openxmlformats.org/spreadsheetml/2006/main" count="158" uniqueCount="84">
  <si>
    <t xml:space="preserve">Requirement Traceability Matrix (RTM)</t>
  </si>
  <si>
    <t xml:space="preserve">Maps requirements to test cases across Login, Inventory, Sorting, Product Details, Cart, Checkout and Order Completion</t>
  </si>
  <si>
    <t xml:space="preserve">Requirement ID</t>
  </si>
  <si>
    <t xml:space="preserve">Requirement</t>
  </si>
  <si>
    <t xml:space="preserve">Module</t>
  </si>
  <si>
    <t xml:space="preserve">Test Case IDs</t>
  </si>
  <si>
    <t xml:space="preserve">Priority</t>
  </si>
  <si>
    <t xml:space="preserve">Coverage Status</t>
  </si>
  <si>
    <t xml:space="preserve">Execution Status</t>
  </si>
  <si>
    <t xml:space="preserve">REQ-LOGIN-001</t>
  </si>
  <si>
    <t xml:space="preserve">Valid users can log in with an approved username and password.</t>
  </si>
  <si>
    <t xml:space="preserve">Login</t>
  </si>
  <si>
    <t xml:space="preserve">TC-LOGIN-001, TC-LOGIN-002</t>
  </si>
  <si>
    <t xml:space="preserve">P0</t>
  </si>
  <si>
    <t xml:space="preserve">Covered by planned cases</t>
  </si>
  <si>
    <t xml:space="preserve">Not Executed</t>
  </si>
  <si>
    <t xml:space="preserve">REQ-LOGIN-002</t>
  </si>
  <si>
    <t xml:space="preserve">Invalid credentials are rejected without exposing sensitive details.</t>
  </si>
  <si>
    <t xml:space="preserve">TC-LOGIN-003, TC-LOGIN-004</t>
  </si>
  <si>
    <t xml:space="preserve">REQ-LOGIN-003</t>
  </si>
  <si>
    <t xml:space="preserve">Locked users cannot access the application.</t>
  </si>
  <si>
    <t xml:space="preserve">TC-LOGIN-005</t>
  </si>
  <si>
    <t xml:space="preserve">REQ-LOGIN-004</t>
  </si>
  <si>
    <t xml:space="preserve">Blank username and password fields are validated.</t>
  </si>
  <si>
    <t xml:space="preserve">TC-LOGIN-006, TC-LOGIN-007</t>
  </si>
  <si>
    <t xml:space="preserve">REQ-INV-001</t>
  </si>
  <si>
    <t xml:space="preserve">Inventory page displays all available product cards.</t>
  </si>
  <si>
    <t xml:space="preserve">Inventory</t>
  </si>
  <si>
    <t xml:space="preserve">TC-INV-001, TC-INV-002</t>
  </si>
  <si>
    <t xml:space="preserve">P1</t>
  </si>
  <si>
    <t xml:space="preserve">REQ-INV-002</t>
  </si>
  <si>
    <t xml:space="preserve">Product cards show consistent name, price, image, and description.</t>
  </si>
  <si>
    <t xml:space="preserve">TC-INV-003, TC-INV-004</t>
  </si>
  <si>
    <t xml:space="preserve">REQ-INV-003</t>
  </si>
  <si>
    <t xml:space="preserve">A product can be added from the inventory page.</t>
  </si>
  <si>
    <t xml:space="preserve">TC-INV-005, TC-CART-001</t>
  </si>
  <si>
    <t xml:space="preserve">REQ-SORT-001</t>
  </si>
  <si>
    <t xml:space="preserve">Products can be sorted by name A-Z and Z-A.</t>
  </si>
  <si>
    <t xml:space="preserve">Sorting</t>
  </si>
  <si>
    <t xml:space="preserve">TC-SORT-001, TC-SORT-002</t>
  </si>
  <si>
    <t xml:space="preserve">P2</t>
  </si>
  <si>
    <t xml:space="preserve">REQ-SORT-002</t>
  </si>
  <si>
    <t xml:space="preserve">Products can be sorted by price low-high and high-low.</t>
  </si>
  <si>
    <t xml:space="preserve">TC-SORT-003, TC-SORT-004</t>
  </si>
  <si>
    <t xml:space="preserve">REQ-DETAIL-001</t>
  </si>
  <si>
    <t xml:space="preserve">Selecting a product opens its detail page.</t>
  </si>
  <si>
    <t xml:space="preserve">Product Details</t>
  </si>
  <si>
    <t xml:space="preserve">TC-DETAIL-001, TC-DETAIL-002</t>
  </si>
  <si>
    <t xml:space="preserve">REQ-DETAIL-002</t>
  </si>
  <si>
    <t xml:space="preserve">A product can be added from its detail page.</t>
  </si>
  <si>
    <t xml:space="preserve">TC-DETAIL-003, TC-CART-002</t>
  </si>
  <si>
    <t xml:space="preserve">REQ-CART-001</t>
  </si>
  <si>
    <t xml:space="preserve">Added products appear in the cart.</t>
  </si>
  <si>
    <t xml:space="preserve">Cart</t>
  </si>
  <si>
    <t xml:space="preserve">TC-CART-001, TC-CART-003</t>
  </si>
  <si>
    <t xml:space="preserve">REQ-CART-002</t>
  </si>
  <si>
    <t xml:space="preserve">A product can be removed from the cart.</t>
  </si>
  <si>
    <t xml:space="preserve">TC-CART-004, TC-CART-005</t>
  </si>
  <si>
    <t xml:space="preserve">REQ-CART-003</t>
  </si>
  <si>
    <t xml:space="preserve">Cart displays correct item details and prices.</t>
  </si>
  <si>
    <t xml:space="preserve">TC-CART-006, TC-CART-007</t>
  </si>
  <si>
    <t xml:space="preserve">REQ-CHECKOUT-001</t>
  </si>
  <si>
    <t xml:space="preserve">Checkout requires first name, last name, and postal code.</t>
  </si>
  <si>
    <t xml:space="preserve">Checkout</t>
  </si>
  <si>
    <t xml:space="preserve">TC-CHECKOUT-001, TC-CHECKOUT-002</t>
  </si>
  <si>
    <t xml:space="preserve">REQ-CHECKOUT-002</t>
  </si>
  <si>
    <t xml:space="preserve">Valid customer information allows continuation.</t>
  </si>
  <si>
    <t xml:space="preserve">TC-CHECKOUT-003</t>
  </si>
  <si>
    <t xml:space="preserve">REQ-CHECKOUT-003</t>
  </si>
  <si>
    <t xml:space="preserve">Checkout overview lists selected items and totals.</t>
  </si>
  <si>
    <t xml:space="preserve">TC-CHECKOUT-004, TC-CHECKOUT-005</t>
  </si>
  <si>
    <t xml:space="preserve">REQ-ORDER-001</t>
  </si>
  <si>
    <t xml:space="preserve">A valid checkout can be completed.</t>
  </si>
  <si>
    <t xml:space="preserve">Order Completion</t>
  </si>
  <si>
    <t xml:space="preserve">TC-ORDER-001, TC-ORDER-002</t>
  </si>
  <si>
    <t xml:space="preserve">RTM Summary</t>
  </si>
  <si>
    <t xml:space="preserve">Total Requirements</t>
  </si>
  <si>
    <t xml:space="preserve">Passed</t>
  </si>
  <si>
    <t xml:space="preserve">Failed</t>
  </si>
  <si>
    <t xml:space="preserve">Blocked</t>
  </si>
  <si>
    <t xml:space="preserve">In Progress</t>
  </si>
  <si>
    <t xml:space="preserve">Execution Rate</t>
  </si>
  <si>
    <t xml:space="preserve">Requirement Count</t>
  </si>
  <si>
    <t xml:space="preserve">P3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</si>
</sst>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ont>
        <i val="1"/>
        <color rgb="FF808080"/>
      </font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A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3.75" hidden="false" customHeight="tru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33.75" hidden="false" customHeight="true" outlineLevel="0" collapsed="false">
      <c r="A6" s="5" t="s">
        <v>16</v>
      </c>
      <c r="B6" s="5" t="s">
        <v>17</v>
      </c>
      <c r="C6" s="5" t="s">
        <v>11</v>
      </c>
      <c r="D6" s="5" t="s">
        <v>18</v>
      </c>
      <c r="E6" s="5" t="s">
        <v>13</v>
      </c>
      <c r="F6" s="5" t="s">
        <v>14</v>
      </c>
      <c r="G6" s="5" t="s">
        <v>15</v>
      </c>
    </row>
    <row r="7" customFormat="false" ht="33.75" hidden="false" customHeight="true" outlineLevel="0" collapsed="false">
      <c r="A7" s="4" t="s">
        <v>19</v>
      </c>
      <c r="B7" s="4" t="s">
        <v>20</v>
      </c>
      <c r="C7" s="4" t="s">
        <v>11</v>
      </c>
      <c r="D7" s="4" t="s">
        <v>21</v>
      </c>
      <c r="E7" s="4" t="s">
        <v>13</v>
      </c>
      <c r="F7" s="4" t="s">
        <v>14</v>
      </c>
      <c r="G7" s="4" t="s">
        <v>15</v>
      </c>
    </row>
    <row r="8" customFormat="false" ht="33.75" hidden="false" customHeight="true" outlineLevel="0" collapsed="false">
      <c r="A8" s="5" t="s">
        <v>22</v>
      </c>
      <c r="B8" s="5" t="s">
        <v>23</v>
      </c>
      <c r="C8" s="5" t="s">
        <v>11</v>
      </c>
      <c r="D8" s="5" t="s">
        <v>24</v>
      </c>
      <c r="E8" s="5" t="s">
        <v>13</v>
      </c>
      <c r="F8" s="5" t="s">
        <v>14</v>
      </c>
      <c r="G8" s="5" t="s">
        <v>15</v>
      </c>
    </row>
    <row r="9" customFormat="false" ht="33.75" hidden="false" customHeight="true" outlineLevel="0" collapsed="false">
      <c r="A9" s="4" t="s">
        <v>25</v>
      </c>
      <c r="B9" s="4" t="s">
        <v>26</v>
      </c>
      <c r="C9" s="4" t="s">
        <v>27</v>
      </c>
      <c r="D9" s="4" t="s">
        <v>28</v>
      </c>
      <c r="E9" s="4" t="s">
        <v>29</v>
      </c>
      <c r="F9" s="4" t="s">
        <v>14</v>
      </c>
      <c r="G9" s="4" t="s">
        <v>15</v>
      </c>
    </row>
    <row r="10" customFormat="false" ht="33.75" hidden="false" customHeight="true" outlineLevel="0" collapsed="false">
      <c r="A10" s="5" t="s">
        <v>30</v>
      </c>
      <c r="B10" s="5" t="s">
        <v>31</v>
      </c>
      <c r="C10" s="5" t="s">
        <v>27</v>
      </c>
      <c r="D10" s="5" t="s">
        <v>32</v>
      </c>
      <c r="E10" s="5" t="s">
        <v>29</v>
      </c>
      <c r="F10" s="5" t="s">
        <v>14</v>
      </c>
      <c r="G10" s="5" t="s">
        <v>15</v>
      </c>
    </row>
    <row r="11" customFormat="false" ht="33.75" hidden="false" customHeight="true" outlineLevel="0" collapsed="false">
      <c r="A11" s="4" t="s">
        <v>33</v>
      </c>
      <c r="B11" s="4" t="s">
        <v>34</v>
      </c>
      <c r="C11" s="4" t="s">
        <v>27</v>
      </c>
      <c r="D11" s="4" t="s">
        <v>35</v>
      </c>
      <c r="E11" s="4" t="s">
        <v>29</v>
      </c>
      <c r="F11" s="4" t="s">
        <v>14</v>
      </c>
      <c r="G11" s="4" t="s">
        <v>15</v>
      </c>
    </row>
    <row r="12" customFormat="false" ht="33.75" hidden="false" customHeight="true" outlineLevel="0" collapsed="false">
      <c r="A12" s="5" t="s">
        <v>36</v>
      </c>
      <c r="B12" s="5" t="s">
        <v>37</v>
      </c>
      <c r="C12" s="5" t="s">
        <v>38</v>
      </c>
      <c r="D12" s="5" t="s">
        <v>39</v>
      </c>
      <c r="E12" s="5" t="s">
        <v>40</v>
      </c>
      <c r="F12" s="5" t="s">
        <v>14</v>
      </c>
      <c r="G12" s="5" t="s">
        <v>15</v>
      </c>
    </row>
    <row r="13" customFormat="false" ht="33.75" hidden="false" customHeight="true" outlineLevel="0" collapsed="false">
      <c r="A13" s="4" t="s">
        <v>41</v>
      </c>
      <c r="B13" s="4" t="s">
        <v>42</v>
      </c>
      <c r="C13" s="4" t="s">
        <v>38</v>
      </c>
      <c r="D13" s="4" t="s">
        <v>43</v>
      </c>
      <c r="E13" s="4" t="s">
        <v>40</v>
      </c>
      <c r="F13" s="4" t="s">
        <v>14</v>
      </c>
      <c r="G13" s="4" t="s">
        <v>15</v>
      </c>
    </row>
    <row r="14" customFormat="false" ht="33.75" hidden="false" customHeight="true" outlineLevel="0" collapsed="false">
      <c r="A14" s="5" t="s">
        <v>44</v>
      </c>
      <c r="B14" s="5" t="s">
        <v>45</v>
      </c>
      <c r="C14" s="5" t="s">
        <v>46</v>
      </c>
      <c r="D14" s="5" t="s">
        <v>47</v>
      </c>
      <c r="E14" s="5" t="s">
        <v>29</v>
      </c>
      <c r="F14" s="5" t="s">
        <v>14</v>
      </c>
      <c r="G14" s="5" t="s">
        <v>15</v>
      </c>
    </row>
    <row r="15" customFormat="false" ht="33.75" hidden="false" customHeight="true" outlineLevel="0" collapsed="false">
      <c r="A15" s="4" t="s">
        <v>48</v>
      </c>
      <c r="B15" s="4" t="s">
        <v>49</v>
      </c>
      <c r="C15" s="4" t="s">
        <v>46</v>
      </c>
      <c r="D15" s="4" t="s">
        <v>50</v>
      </c>
      <c r="E15" s="4" t="s">
        <v>29</v>
      </c>
      <c r="F15" s="4" t="s">
        <v>14</v>
      </c>
      <c r="G15" s="4" t="s">
        <v>15</v>
      </c>
    </row>
    <row r="16" customFormat="false" ht="33.75" hidden="false" customHeight="true" outlineLevel="0" collapsed="false">
      <c r="A16" s="5" t="s">
        <v>51</v>
      </c>
      <c r="B16" s="5" t="s">
        <v>52</v>
      </c>
      <c r="C16" s="5" t="s">
        <v>53</v>
      </c>
      <c r="D16" s="5" t="s">
        <v>54</v>
      </c>
      <c r="E16" s="5" t="s">
        <v>29</v>
      </c>
      <c r="F16" s="5" t="s">
        <v>14</v>
      </c>
      <c r="G16" s="5" t="s">
        <v>15</v>
      </c>
    </row>
    <row r="17" customFormat="false" ht="33.75" hidden="false" customHeight="true" outlineLevel="0" collapsed="false">
      <c r="A17" s="4" t="s">
        <v>55</v>
      </c>
      <c r="B17" s="4" t="s">
        <v>56</v>
      </c>
      <c r="C17" s="4" t="s">
        <v>53</v>
      </c>
      <c r="D17" s="4" t="s">
        <v>57</v>
      </c>
      <c r="E17" s="4" t="s">
        <v>29</v>
      </c>
      <c r="F17" s="4" t="s">
        <v>14</v>
      </c>
      <c r="G17" s="4" t="s">
        <v>15</v>
      </c>
    </row>
    <row r="18" customFormat="false" ht="33.75" hidden="false" customHeight="true" outlineLevel="0" collapsed="false">
      <c r="A18" s="5" t="s">
        <v>58</v>
      </c>
      <c r="B18" s="5" t="s">
        <v>59</v>
      </c>
      <c r="C18" s="5" t="s">
        <v>53</v>
      </c>
      <c r="D18" s="5" t="s">
        <v>60</v>
      </c>
      <c r="E18" s="5" t="s">
        <v>29</v>
      </c>
      <c r="F18" s="5" t="s">
        <v>14</v>
      </c>
      <c r="G18" s="5" t="s">
        <v>15</v>
      </c>
    </row>
    <row r="19" customFormat="false" ht="33.75" hidden="false" customHeight="true" outlineLevel="0" collapsed="false">
      <c r="A19" s="4" t="s">
        <v>61</v>
      </c>
      <c r="B19" s="4" t="s">
        <v>62</v>
      </c>
      <c r="C19" s="4" t="s">
        <v>63</v>
      </c>
      <c r="D19" s="4" t="s">
        <v>64</v>
      </c>
      <c r="E19" s="4" t="s">
        <v>13</v>
      </c>
      <c r="F19" s="4" t="s">
        <v>14</v>
      </c>
      <c r="G19" s="4" t="s">
        <v>15</v>
      </c>
    </row>
    <row r="20" customFormat="false" ht="33.75" hidden="false" customHeight="true" outlineLevel="0" collapsed="false">
      <c r="A20" s="5" t="s">
        <v>65</v>
      </c>
      <c r="B20" s="5" t="s">
        <v>66</v>
      </c>
      <c r="C20" s="5" t="s">
        <v>63</v>
      </c>
      <c r="D20" s="5" t="s">
        <v>67</v>
      </c>
      <c r="E20" s="5" t="s">
        <v>13</v>
      </c>
      <c r="F20" s="5" t="s">
        <v>14</v>
      </c>
      <c r="G20" s="5" t="s">
        <v>15</v>
      </c>
    </row>
    <row r="21" customFormat="false" ht="33.75" hidden="false" customHeight="true" outlineLevel="0" collapsed="false">
      <c r="A21" s="4" t="s">
        <v>68</v>
      </c>
      <c r="B21" s="4" t="s">
        <v>69</v>
      </c>
      <c r="C21" s="4" t="s">
        <v>63</v>
      </c>
      <c r="D21" s="4" t="s">
        <v>70</v>
      </c>
      <c r="E21" s="4" t="s">
        <v>13</v>
      </c>
      <c r="F21" s="4" t="s">
        <v>14</v>
      </c>
      <c r="G21" s="4" t="s">
        <v>15</v>
      </c>
    </row>
    <row r="22" customFormat="false" ht="33.75" hidden="false" customHeight="true" outlineLevel="0" collapsed="false">
      <c r="A22" s="5" t="s">
        <v>71</v>
      </c>
      <c r="B22" s="5" t="s">
        <v>72</v>
      </c>
      <c r="C22" s="5" t="s">
        <v>73</v>
      </c>
      <c r="D22" s="5" t="s">
        <v>74</v>
      </c>
      <c r="E22" s="5" t="s">
        <v>13</v>
      </c>
      <c r="F22" s="5" t="s">
        <v>14</v>
      </c>
      <c r="G22" s="5" t="s">
        <v>15</v>
      </c>
    </row>
  </sheetData>
  <autoFilter ref="A4:G22"/>
  <mergeCells count="2">
    <mergeCell ref="A1:G1"/>
    <mergeCell ref="A2:G2"/>
  </mergeCells>
  <conditionalFormatting sqref="E5:E22">
    <cfRule type="cellIs" priority="2" operator="equal" aboveAverage="0" equalAverage="0" bottom="0" percent="0" rank="0" text="" dxfId="9">
      <formula>"P0"</formula>
    </cfRule>
    <cfRule type="cellIs" priority="3" operator="equal" aboveAverage="0" equalAverage="0" bottom="0" percent="0" rank="0" text="" dxfId="10">
      <formula>"P1"</formula>
    </cfRule>
    <cfRule type="cellIs" priority="4" operator="equal" aboveAverage="0" equalAverage="0" bottom="0" percent="0" rank="0" text="" dxfId="11">
      <formula>"P2"</formula>
    </cfRule>
    <cfRule type="cellIs" priority="5" operator="equal" aboveAverage="0" equalAverage="0" bottom="0" percent="0" rank="0" text="" dxfId="12">
      <formula>"P3"</formula>
    </cfRule>
  </conditionalFormatting>
  <conditionalFormatting sqref="G5:G22">
    <cfRule type="cellIs" priority="6" operator="equal" aboveAverage="0" equalAverage="0" bottom="0" percent="0" rank="0" text="" dxfId="13">
      <formula>"Not Executed"</formula>
    </cfRule>
    <cfRule type="cellIs" priority="7" operator="equal" aboveAverage="0" equalAverage="0" bottom="0" percent="0" rank="0" text="" dxfId="11">
      <formula>"Passed"</formula>
    </cfRule>
    <cfRule type="cellIs" priority="8" operator="equal" aboveAverage="0" equalAverage="0" bottom="0" percent="0" rank="0" text="" dxfId="9">
      <formula>"Failed"</formula>
    </cfRule>
    <cfRule type="cellIs" priority="9" operator="equal" aboveAverage="0" equalAverage="0" bottom="0" percent="0" rank="0" text="" dxfId="10">
      <formula>"Blocked"</formula>
    </cfRule>
  </conditionalFormatting>
  <conditionalFormatting sqref="F5:F22">
    <cfRule type="cellIs" priority="10" operator="equal" aboveAverage="0" equalAverage="0" bottom="0" percent="0" rank="0" text="" dxfId="9">
      <formula>"Not Covered"</formula>
    </cfRule>
  </conditionalFormatting>
  <dataValidations count="3">
    <dataValidation allowBlank="true" errorStyle="stop" operator="between" showDropDown="false" showErrorMessage="false" showInputMessage="false" sqref="E5:E22" type="list">
      <formula1>"P0,P1,P2,P3"</formula1>
      <formula2>0</formula2>
    </dataValidation>
    <dataValidation allowBlank="true" errorStyle="stop" operator="between" showDropDown="false" showErrorMessage="false" showInputMessage="false" sqref="F5:F22" type="list">
      <formula1>"Covered by planned cases,Covered by executed cases,Partially Covered,Not Covered"</formula1>
      <formula2>0</formula2>
    </dataValidation>
    <dataValidation allowBlank="true" errorStyle="stop" operator="between" showDropDown="false" showErrorMessage="false" showInputMessage="false" sqref="G5:G22" type="list">
      <formula1>"Not Executed,In Progress,Passed,Failed,Blocked"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24" hidden="false" customHeight="true" outlineLevel="0" collapsed="false">
      <c r="A1" s="6" t="s">
        <v>75</v>
      </c>
      <c r="B1" s="6"/>
    </row>
    <row r="3" customFormat="false" ht="15" hidden="false" customHeight="false" outlineLevel="0" collapsed="false">
      <c r="A3" s="7" t="s">
        <v>76</v>
      </c>
      <c r="B3" s="8" t="n">
        <f aca="false">COUNTA('Traceability Matrix'!A5:A22)</f>
        <v>18</v>
      </c>
    </row>
    <row r="4" customFormat="false" ht="15" hidden="false" customHeight="false" outlineLevel="0" collapsed="false">
      <c r="A4" s="7" t="s">
        <v>77</v>
      </c>
      <c r="B4" s="8" t="n">
        <f aca="false">COUNTIF('Traceability Matrix'!G5:G22,"Passed")</f>
        <v>0</v>
      </c>
    </row>
    <row r="5" customFormat="false" ht="15" hidden="false" customHeight="false" outlineLevel="0" collapsed="false">
      <c r="A5" s="7" t="s">
        <v>78</v>
      </c>
      <c r="B5" s="8" t="n">
        <f aca="false">COUNTIF('Traceability Matrix'!G5:G22,"Failed")</f>
        <v>0</v>
      </c>
    </row>
    <row r="6" customFormat="false" ht="15" hidden="false" customHeight="false" outlineLevel="0" collapsed="false">
      <c r="A6" s="7" t="s">
        <v>79</v>
      </c>
      <c r="B6" s="8" t="n">
        <f aca="false">COUNTIF('Traceability Matrix'!G5:G22,"Blocked")</f>
        <v>0</v>
      </c>
    </row>
    <row r="7" customFormat="false" ht="15" hidden="false" customHeight="false" outlineLevel="0" collapsed="false">
      <c r="A7" s="7" t="s">
        <v>80</v>
      </c>
      <c r="B7" s="8" t="n">
        <f aca="false">COUNTIF('Traceability Matrix'!G5:G22,"In Progress")</f>
        <v>0</v>
      </c>
    </row>
    <row r="8" customFormat="false" ht="15" hidden="false" customHeight="false" outlineLevel="0" collapsed="false">
      <c r="A8" s="7" t="s">
        <v>15</v>
      </c>
      <c r="B8" s="8" t="n">
        <f aca="false">COUNTIF('Traceability Matrix'!G5:G22,"Not Executed")</f>
        <v>18</v>
      </c>
    </row>
    <row r="9" customFormat="false" ht="15" hidden="false" customHeight="false" outlineLevel="0" collapsed="false">
      <c r="A9" s="7" t="s">
        <v>81</v>
      </c>
      <c r="B9" s="9" t="n">
        <f aca="false">IFERROR((B3-B8)/B3,0)</f>
        <v>0</v>
      </c>
    </row>
    <row r="11" customFormat="false" ht="15" hidden="false" customHeight="false" outlineLevel="0" collapsed="false">
      <c r="A11" s="10" t="s">
        <v>4</v>
      </c>
      <c r="B11" s="10" t="s">
        <v>82</v>
      </c>
    </row>
    <row r="12" customFormat="false" ht="15" hidden="false" customHeight="false" outlineLevel="0" collapsed="false">
      <c r="A12" s="11" t="s">
        <v>11</v>
      </c>
      <c r="B12" s="12" t="n">
        <f aca="false">COUNTIF('Traceability Matrix'!C5:C22,A12)</f>
        <v>4</v>
      </c>
    </row>
    <row r="13" customFormat="false" ht="15" hidden="false" customHeight="false" outlineLevel="0" collapsed="false">
      <c r="A13" s="11" t="s">
        <v>27</v>
      </c>
      <c r="B13" s="12" t="n">
        <f aca="false">COUNTIF('Traceability Matrix'!C5:C22,A13)</f>
        <v>3</v>
      </c>
    </row>
    <row r="14" customFormat="false" ht="15" hidden="false" customHeight="false" outlineLevel="0" collapsed="false">
      <c r="A14" s="11" t="s">
        <v>38</v>
      </c>
      <c r="B14" s="12" t="n">
        <f aca="false">COUNTIF('Traceability Matrix'!C5:C22,A14)</f>
        <v>2</v>
      </c>
    </row>
    <row r="15" customFormat="false" ht="15" hidden="false" customHeight="false" outlineLevel="0" collapsed="false">
      <c r="A15" s="11" t="s">
        <v>46</v>
      </c>
      <c r="B15" s="12" t="n">
        <f aca="false">COUNTIF('Traceability Matrix'!C5:C22,A15)</f>
        <v>2</v>
      </c>
    </row>
    <row r="16" customFormat="false" ht="15" hidden="false" customHeight="false" outlineLevel="0" collapsed="false">
      <c r="A16" s="11" t="s">
        <v>53</v>
      </c>
      <c r="B16" s="12" t="n">
        <f aca="false">COUNTIF('Traceability Matrix'!C5:C22,A16)</f>
        <v>3</v>
      </c>
    </row>
    <row r="17" customFormat="false" ht="15" hidden="false" customHeight="false" outlineLevel="0" collapsed="false">
      <c r="A17" s="11" t="s">
        <v>63</v>
      </c>
      <c r="B17" s="12" t="n">
        <f aca="false">COUNTIF('Traceability Matrix'!C5:C22,A17)</f>
        <v>3</v>
      </c>
    </row>
    <row r="18" customFormat="false" ht="15" hidden="false" customHeight="false" outlineLevel="0" collapsed="false">
      <c r="A18" s="11" t="s">
        <v>73</v>
      </c>
      <c r="B18" s="12" t="n">
        <f aca="false">COUNTIF('Traceability Matrix'!C5:C22,A18)</f>
        <v>1</v>
      </c>
    </row>
    <row r="20" customFormat="false" ht="15" hidden="false" customHeight="false" outlineLevel="0" collapsed="false">
      <c r="A20" s="10" t="s">
        <v>6</v>
      </c>
      <c r="B20" s="10" t="s">
        <v>82</v>
      </c>
    </row>
    <row r="21" customFormat="false" ht="15" hidden="false" customHeight="false" outlineLevel="0" collapsed="false">
      <c r="A21" s="11" t="s">
        <v>13</v>
      </c>
      <c r="B21" s="12" t="n">
        <f aca="false">COUNTIF('Traceability Matrix'!E5:E22,A21)</f>
        <v>8</v>
      </c>
    </row>
    <row r="22" customFormat="false" ht="15" hidden="false" customHeight="false" outlineLevel="0" collapsed="false">
      <c r="A22" s="11" t="s">
        <v>29</v>
      </c>
      <c r="B22" s="12" t="n">
        <f aca="false">COUNTIF('Traceability Matrix'!E5:E22,A22)</f>
        <v>8</v>
      </c>
    </row>
    <row r="23" customFormat="false" ht="15" hidden="false" customHeight="false" outlineLevel="0" collapsed="false">
      <c r="A23" s="11" t="s">
        <v>40</v>
      </c>
      <c r="B23" s="12" t="n">
        <f aca="false">COUNTIF('Traceability Matrix'!E5:E22,A23)</f>
        <v>2</v>
      </c>
    </row>
    <row r="24" customFormat="false" ht="15" hidden="false" customHeight="false" outlineLevel="0" collapsed="false">
      <c r="A24" s="11" t="s">
        <v>83</v>
      </c>
      <c r="B24" s="12" t="n">
        <f aca="false">COUNTIF('Traceability Matrix'!E5:E22,A24)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2026-09-03T03:09:35Z</dcterms:created>
  <dc:creator>openpyxl</dc:creator>
  <dc:description/>
  <dc:language>en-US</dc:language>
  <cp:lastModifiedBy/>
  <dcterms:modified xsi:type="dcterms:W3CDTF">2026-09-03T03:09:35Z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